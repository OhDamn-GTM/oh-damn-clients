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oogle Ad Copies" sheetId="1" r:id="rId5"/>
    <sheet state="visible" name="Revised Ad Copies (Based on The" sheetId="2" r:id="rId6"/>
    <sheet state="hidden" name="ChatGPT Ad Copies" sheetId="3" r:id="rId7"/>
    <sheet state="visible" name="Revised ChatGPT Ad Copies (Bas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tc={307ecf9f-e901-4191-a14f-d7e567d88108}</author>
    <author>tc={48d1b7c1-3e70-4f6f-9216-b92b22f40fb2}</author>
    <author>tc={4d18c069-9775-4eb8-88c2-62d63afc3843}</author>
    <author>tc={6a36197b-48d5-4d37-8197-8d85fdabba70}</author>
    <author>tc={6c628ee1-c5ef-42f5-828a-28e1719c2e16}</author>
    <author>tc={7c4f27d2-eafc-41c5-a5f2-85b8d54d9a67}</author>
    <author>tc={89f5dc3b-fcdd-49a6-a1da-4548f86c33b6}</author>
    <author>tc={93cb8635-160b-43e3-ace4-d2cf49d890b7}</author>
    <author>tc={ad212432-605a-43c0-b4df-2436d9ac0bae}</author>
    <author>tc={daf90c37-aba3-49c4-8a5b-37d8c1a6ff87}</author>
    <author>tc={dd6b8365-2d2f-4f18-a9f2-61a4ef62f188}</author>
  </authors>
  <commentList>
    <comment authorId="0" xr:uid="{307ecf9f-e901-4191-a14f-d7e567d88108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Skip boolean filters
- Talk to it like chatgpt / give a prompt
</t>
      </text>
    </comment>
    <comment authorId="1" xr:uid="{48d1b7c1-3e70-4f6f-9216-b92b22f40fb2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come under fear
</t>
      </text>
    </comment>
    <comment authorId="2" xr:uid="{4d18c069-9775-4eb8-88c2-62d63afc3843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ROI / speak to the ROI question
</t>
      </text>
    </comment>
    <comment authorId="3" xr:uid="{6a36197b-48d5-4d37-8197-8d85fdabba70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frustration of the recruiter
</t>
      </text>
    </comment>
    <comment authorId="4" xr:uid="{6c628ee1-c5ef-42f5-828a-28e1719c2e16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filter / use fine-tune as words
</t>
      </text>
    </comment>
    <comment authorId="5" xr:uid="{7c4f27d2-eafc-41c5-a5f2-85b8d54d9a67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hard to fill roles
- tired of keyword or tag based matches
- exhausted your search on Juicebox
</t>
      </text>
    </comment>
    <comment authorId="6" xr:uid="{89f5dc3b-fcdd-49a6-a1da-4548f86c33b6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affect your reputation
ROI focused
</t>
      </text>
    </comment>
    <comment authorId="7" xr:uid="{93cb8635-160b-43e3-ace4-d2cf49d890b7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talk to the frustration of the recruiter
</t>
      </text>
    </comment>
    <comment authorId="8" xr:uid="{ad212432-605a-43c0-b4df-2436d9ac0bae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move this to frustration group
</t>
      </text>
    </comment>
    <comment authorId="9" xr:uid="{daf90c37-aba3-49c4-8a5b-37d8c1a6ff87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frustration
</t>
      </text>
    </comment>
    <comment authorId="10" xr:uid="{dd6b8365-2d2f-4f18-a9f2-61a4ef62f188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ROI focused
</t>
      </text>
    </comment>
  </commentList>
</comments>
</file>

<file path=xl/sharedStrings.xml><?xml version="1.0" encoding="utf-8"?>
<sst xmlns="http://schemas.openxmlformats.org/spreadsheetml/2006/main" count="374" uniqueCount="263">
  <si>
    <t>G2 Complaint</t>
  </si>
  <si>
    <t>AD GROUP 1 [FEAR]</t>
  </si>
  <si>
    <t>Theme</t>
  </si>
  <si>
    <t xml:space="preserve">Keywords </t>
  </si>
  <si>
    <t>Context Hint 1</t>
  </si>
  <si>
    <t>Context Hint 2</t>
  </si>
  <si>
    <t>Context Hint 3</t>
  </si>
  <si>
    <t>Intent Classification</t>
  </si>
  <si>
    <t>Headline</t>
  </si>
  <si>
    <t>Headline 1</t>
  </si>
  <si>
    <t>Headline 2</t>
  </si>
  <si>
    <t xml:space="preserve">Description </t>
  </si>
  <si>
    <t>Headline 3</t>
  </si>
  <si>
    <t>Sourcing for recruiters who verify every profile on LinkedIn before reaching out, because a wrong submission costs reputation</t>
  </si>
  <si>
    <t>Position of the Description</t>
  </si>
  <si>
    <t>AD GROUP 1 [FEAR: Reputation is on the line]
Reputation risk. Presenting a weak candidate to a client, pitching the wrong job to a good candidate, running out of profiles with the client waiting.</t>
  </si>
  <si>
    <t>Fear of the recruiter</t>
  </si>
  <si>
    <t>Score</t>
  </si>
  <si>
    <t>Surfaces the obvious profiles, misses the deeper pool</t>
  </si>
  <si>
    <t>Sourcing for recruiters who have exhausted a search with the client still waiting and no profiles left to show</t>
  </si>
  <si>
    <t xml:space="preserve">
Juicebox / PeopleGPT Brand
</t>
  </si>
  <si>
    <t>Candidate search for legal, healthcare etc, where the qualifying experience sits in a candidate's employer/projects</t>
  </si>
  <si>
    <t>AD GROUP 1 [FEAR OF THE RECRUITER]</t>
  </si>
  <si>
    <t>Have Hard to Fill Roles?</t>
  </si>
  <si>
    <t xml:space="preserve">
juicebox ai
peoplegpt
juicebox recruiting
peoplegpt recruiting
</t>
  </si>
  <si>
    <t>Both</t>
  </si>
  <si>
    <t>Exhausted Juicebox Search?</t>
  </si>
  <si>
    <t>Candidate search for roles with non-negotiable qualifications, like a license or certification, where a near-match wastes the outreach entirely</t>
  </si>
  <si>
    <t>Sourcing for legal, healthcare, manufacturing etc., where the qualifying experience sits in a candidate's employer or caseload rather than their job title</t>
  </si>
  <si>
    <t xml:space="preserve">
(thejas: talk to the fear of the recruiter)
Can't tell why a profile surfaced, so each one gets re-checked</t>
  </si>
  <si>
    <t>Candidate sourcing for recruiters who already search in natural language but still open LinkedIn to verify every profile before reaching out</t>
  </si>
  <si>
    <t xml:space="preserve">
Juicebox / PeopleGPT Brand</t>
  </si>
  <si>
    <t>Stop Cross-Checking Profiles on LinkedIn</t>
  </si>
  <si>
    <t xml:space="preserve">
juicebox ai
peoplegpt
juicebox recruiting
peoplegpt recruiting</t>
  </si>
  <si>
    <t>Go deeper on the brief you have already exhausted.</t>
  </si>
  <si>
    <t>Stuck on a Hard-to-Fill Role?</t>
  </si>
  <si>
    <t>Skip Juicebox's outdated profile data. Get verified candidate shortlists without double-checking.</t>
  </si>
  <si>
    <t>Greenfield</t>
  </si>
  <si>
    <t>Ran out of candidates on Juicebox? There is a pool your search never reached.</t>
  </si>
  <si>
    <t>Weak</t>
  </si>
  <si>
    <t>Check Candidate Fit Reasoning</t>
  </si>
  <si>
    <t>Can't tell why a profile surfaced, so each one gets re-checked</t>
  </si>
  <si>
    <t>Senior Means Senior. Get Precise Talent Matching</t>
  </si>
  <si>
    <t>Wrong Job, Right Candidate?</t>
  </si>
  <si>
    <t>Called the Wrong Candidate?</t>
  </si>
  <si>
    <t>No junior profiles for a 5+ years senior candidate brief. Get precise, location-matched shortlists.</t>
  </si>
  <si>
    <t>See Why Candidates Fit</t>
  </si>
  <si>
    <t>Sent a Bad Fit to a Client?</t>
  </si>
  <si>
    <t>Find the pool your search never reached. Your client is waiting.</t>
  </si>
  <si>
    <t>Pitch the wrong role once and a senior candidate never takes your call again. Try Noyce.</t>
  </si>
  <si>
    <t>Built for Non-Tech Too: Healthcare, Legal &amp; More</t>
  </si>
  <si>
    <t>Join the waitlist</t>
  </si>
  <si>
    <t>Built for recruiters working outside tech. Surface verified candidates that fit.</t>
  </si>
  <si>
    <t>Works suboptimal for non-technical roles. Skewed towards software</t>
  </si>
  <si>
    <t>Looking for AI sourcing? Try it for your toughest role alongwith a fit logic.</t>
  </si>
  <si>
    <t>Pitch the right role to the right candidate. Don't damage your reputation.</t>
  </si>
  <si>
    <t>Recruiting Outside Tech?</t>
  </si>
  <si>
    <t>Tech Is Only 2.5% of Hires. Source the Other 97.5%</t>
  </si>
  <si>
    <t>Juicebox Only Works For Tech</t>
  </si>
  <si>
    <t>Never Send A Bad Fit To Your Client Again</t>
  </si>
  <si>
    <t>Stop using Juicebox for non-tech roles. Source qualified talent across verticals.</t>
  </si>
  <si>
    <t>Not Hiring Engineers?</t>
  </si>
  <si>
    <t>See why each candidate fits before you move them forward</t>
  </si>
  <si>
    <t>Built for recruiters working on briefs outside tech. Source non-technical roles fast.</t>
  </si>
  <si>
    <t>Done Double-Checking Every Juicebox Match?</t>
  </si>
  <si>
    <t>Sourcing With Fit Reasoning</t>
  </si>
  <si>
    <t>If you have to verify every Juicebox profile on LinkedIn, why keep paying? Try Noyce.</t>
  </si>
  <si>
    <t>Zero Manual Double-Checking</t>
  </si>
  <si>
    <t>Juicebox Misses Candidates You Need</t>
  </si>
  <si>
    <t>Tired of Juicebox returning obvious profiles? Noyce uncovers deep talent and shows fit reasoning.</t>
  </si>
  <si>
    <t>Built for recruiters working outside tech. Get candidates across legal, healthcare and more</t>
  </si>
  <si>
    <t>AD GROUP 2 [FRUSTRATION: Annoyance at the tool]
Tool frustration. Asking for 7 yrs experience and getting 2. Writing the brief in plain English rather than rebuilding it in boolean filters.</t>
  </si>
  <si>
    <t>Precise Candidate Matching: Zero Wasted Outreach</t>
  </si>
  <si>
    <t>Stop wasting outreach on near-matches. Source candidates using sharp exclusion filters.</t>
  </si>
  <si>
    <t>Evaluating Juicebox?</t>
  </si>
  <si>
    <t>AD GROUP 2 [FRUSTRATION]</t>
  </si>
  <si>
    <t>Researching Juicebox? Noyce shows complete candidate fit reasoning so you skip re-checks.</t>
  </si>
  <si>
    <t>Sourcing for independent recruiters and small agencies with no research team, who do their own sourcing between client calls and interviews</t>
  </si>
  <si>
    <t>Talk to the fear of the recruiter. Extract fear points from call recording</t>
  </si>
  <si>
    <t xml:space="preserve">Candidate search for recruiters who set a seniority range or a location and get results that ignore both
</t>
  </si>
  <si>
    <t>Before You Buy Juicebox AI</t>
  </si>
  <si>
    <t>Filter overload. Team needed persistence to get past the learning curve</t>
  </si>
  <si>
    <t>Candidate sourcing for recruiters still running boolean searches who spend hours filtering results that mostly do not fit the brief</t>
  </si>
  <si>
    <t xml:space="preserve">
Juicebox / PeopleGPT Alternative / Juicebox Sourcing</t>
  </si>
  <si>
    <t>Beyond Juicebox Match Logic</t>
  </si>
  <si>
    <t>Candidate search for in-house teams holding more requisitions than they can fill, where roles stall because the right people never surface</t>
  </si>
  <si>
    <t>Researching Juicebox AI?</t>
  </si>
  <si>
    <t>Source Candidates Between Calls</t>
  </si>
  <si>
    <t>Before choosing Juicebox, see how Noyce gives transparent fit logic for every candidate.</t>
  </si>
  <si>
    <t xml:space="preserve">
juicebox alternative
peoplegpt alternative
juicebox vs
juicebox sourcing
juicebox recruiter
</t>
  </si>
  <si>
    <t>Sourcing for recruiters who write the brief in plain English and then have to rebuild it in boolean filters anyway</t>
  </si>
  <si>
    <t>Tired of Tag-Based Matches?</t>
  </si>
  <si>
    <t>Candidate search where a high match score reflects the whole profile rather than a single keyword found somewhere in it</t>
  </si>
  <si>
    <t>Built for solo recruiters doing it all. Get verified shortlists in a single run.</t>
  </si>
  <si>
    <t>Still Matching Using Keywords?</t>
  </si>
  <si>
    <t>Fed Up of Keyword Matching?</t>
  </si>
  <si>
    <t>Get Precise Shortlists Between Candidate Calls</t>
  </si>
  <si>
    <t>Tag matching cannot read what a profile implies.</t>
  </si>
  <si>
    <t>Tag matching cannot read zero to one as startup experience. Try Noyce.</t>
  </si>
  <si>
    <t>Skip manual clicking between interviews. Find exact fits when you have zero prep time.</t>
  </si>
  <si>
    <t>Stop Spending Time Tweaking Boolean Strings</t>
  </si>
  <si>
    <t>Ditch endless AND/OR strings. Describe the brief in plain English and get on-spec matches.</t>
  </si>
  <si>
    <t>Precise Shortlists Without Complex Filtering</t>
  </si>
  <si>
    <t>Still Setting Filters by Hand?</t>
  </si>
  <si>
    <t>Stop sifting through hundreds of bad fits. Get candidates that match the exact brief.</t>
  </si>
  <si>
    <t>Skip Tiring Boolean Filters</t>
  </si>
  <si>
    <t>Fed Up of Literal Matches?</t>
  </si>
  <si>
    <t>Surface Candidates Traditional Search Tools Miss</t>
  </si>
  <si>
    <t>Skip filter and tag overload. Write your brief in plain English and get precise matches.</t>
  </si>
  <si>
    <t>Fill stalled job requisitions faster. Get real matches for your exact brief.</t>
  </si>
  <si>
    <t>Skip filter overload. Write your brief in plain English.</t>
  </si>
  <si>
    <t>Fill Stalled Job Requisitions</t>
  </si>
  <si>
    <t>Holding too many open roles? Get candidates that match your actual brief and not just job titles.</t>
  </si>
  <si>
    <t>5-7 yr search returns 1-2 yr profiles with internships</t>
  </si>
  <si>
    <t>Scores That Don't Make Sense?</t>
  </si>
  <si>
    <t>Interns in a Senior Search?</t>
  </si>
  <si>
    <t>A high score should mean the experience is really there.</t>
  </si>
  <si>
    <t>Asked Senior, Got Junior?</t>
  </si>
  <si>
    <t>Tired of Junior Profiles?</t>
  </si>
  <si>
    <t>Stop fine-tuning your search manually. Get a shortlist that matches your brief.</t>
  </si>
  <si>
    <t>High Fit Score, No Experience?</t>
  </si>
  <si>
    <t>Not just based on keywords. See what the score is built on.</t>
  </si>
  <si>
    <t>Brownfield</t>
  </si>
  <si>
    <t>Juicebox AI Alternative</t>
  </si>
  <si>
    <t>Juicebox Gave You Interns?</t>
  </si>
  <si>
    <t>Literal Matches Are Frustrating</t>
  </si>
  <si>
    <t>Using Juicebox for senior talent and getting interns? Try the same brief on Noyce.</t>
  </si>
  <si>
    <t>Stop fine-tuning your search manually. Give a prompt in plain English and get a precise shortlist.</t>
  </si>
  <si>
    <t>Results not calibrated to the role. Agents drift off spec</t>
  </si>
  <si>
    <t>High Score, No Experience?</t>
  </si>
  <si>
    <t>Juicebox Drifting Off Spec?</t>
  </si>
  <si>
    <t>Juicebox agents are uncalibrated and drift off spec. Get precise matches fast.</t>
  </si>
  <si>
    <t>Fit Scores Far From Reality?</t>
  </si>
  <si>
    <t>See the experience behind the score, instead of just keywords.</t>
  </si>
  <si>
    <t>A high score should mean the experience is really there, not just based on keywords.</t>
  </si>
  <si>
    <t>AD GROUP 3 [ROI]
Spend justification. Paying for a license and still re-checking every profile by hand, a cheap tool that produces nothing placeable, and paying extra for the agents that were meant to do the work.</t>
  </si>
  <si>
    <t>AD GROUP 3 [ROI]</t>
  </si>
  <si>
    <t>Skip Juicebox's Learning Curve</t>
  </si>
  <si>
    <t>Cheap tool, but wrong results waste the time it was meant to save</t>
  </si>
  <si>
    <t>Juicebox Pricing</t>
  </si>
  <si>
    <t>Easier Than Juicebox Search</t>
  </si>
  <si>
    <t>juicebox pricing</t>
  </si>
  <si>
    <t>Candidate sourcing for recruiters weighing an annual license against how many roles it actually helped them fill</t>
  </si>
  <si>
    <t>Low Price, No Placements?</t>
  </si>
  <si>
    <t xml:space="preserve">
Sourcing for solo recruiters and small agencies priced out of the add-ons that do the actual searching</t>
  </si>
  <si>
    <t>Saving Money, Losing Hours?</t>
  </si>
  <si>
    <t>Describe the role the way you explain it to a colleague. Search and find candidates.</t>
  </si>
  <si>
    <t xml:space="preserve">
Candidate search for recruiters deciding whether to renew a sourcing tool they are still checking by hand</t>
  </si>
  <si>
    <t>Cheap Tool, Same Manual Work?</t>
  </si>
  <si>
    <t>No More Filter Overload</t>
  </si>
  <si>
    <t>A cheap search that misses the candidate is expensive. It costs your time.</t>
  </si>
  <si>
    <t>A cheap search that misses the candidate is expensive. It costs your time and the role.</t>
  </si>
  <si>
    <t>Skip Complex Juicebox Filters</t>
  </si>
  <si>
    <t xml:space="preserve">Skip filter overload and onboarding friction. Describe your role in plain English. </t>
  </si>
  <si>
    <t>Is It Worth Your Money?</t>
  </si>
  <si>
    <t>Count the hours you spend fine-tuning your results, then work out what the seat really costs.</t>
  </si>
  <si>
    <t>Worth Your Time and Money?</t>
  </si>
  <si>
    <t>Count the hours you spend fine tuning your results. Then work out the cost.</t>
  </si>
  <si>
    <t>Paying annually and still unsure the matches are right</t>
  </si>
  <si>
    <t>Paying Juicebox Annually?</t>
  </si>
  <si>
    <t>Paying little and still sourcing by hand is the most expensive setup you can run.</t>
  </si>
  <si>
    <t>Juicebox Annual Plan Worth It?</t>
  </si>
  <si>
    <t>Paying Annually, Still Unsure?</t>
  </si>
  <si>
    <t>You paid Juicebox for the year and it is still not giving back what you expected from it.</t>
  </si>
  <si>
    <t>Juicebox Misses Deep Talent</t>
  </si>
  <si>
    <t>You paid Juicebox for the year. It still is not giving back what you expected</t>
  </si>
  <si>
    <t>Find Who Juicebox Misses</t>
  </si>
  <si>
    <t>Paying Annually, Still Unsure of Juicebox Results?</t>
  </si>
  <si>
    <t>Before you sign another year, run hard to fill roles on Noyce and compare</t>
  </si>
  <si>
    <t>Before you sign another year with Juicebox, run your hard-to-fill roles on Noyce and compare.</t>
  </si>
  <si>
    <t>Agents cost extra on top of the subscription. Solo recruiters priced out</t>
  </si>
  <si>
    <t>Juicebox users report it misses deep talent pool. Uncover it using Noyce.</t>
  </si>
  <si>
    <t>Paying Extra for Agents?</t>
  </si>
  <si>
    <t>Is It Worth Your Time And Money?</t>
  </si>
  <si>
    <t>Count the roles your recruiting tool helped you fill this year, then decide if the license earns it.</t>
  </si>
  <si>
    <t>Juicebox Agents Costing Extra?</t>
  </si>
  <si>
    <t>You already pay for the platform. Then you pay again for the part that actually finds people.</t>
  </si>
  <si>
    <t>No Extra Agent Add-On Fees</t>
  </si>
  <si>
    <t>Your Next 500 Profiles</t>
  </si>
  <si>
    <t>AD GROUP 4 [ASPIRATION]</t>
  </si>
  <si>
    <t>You already pay for the platform. Then you pay again for the part that finds people.</t>
  </si>
  <si>
    <t>Reads What Profiles Imply</t>
  </si>
  <si>
    <t>Sourcing for recruiters trying to move from 1-2 placements a month to a higher number, where the next fill depends on reaching candidates their current search never surfaces</t>
  </si>
  <si>
    <t>How is that fair? Instead, try Noyce and get precise matches as per your brief.</t>
  </si>
  <si>
    <t>Not just tech, find and shortlist candidates from non-tech too.</t>
  </si>
  <si>
    <t>Sourcing for recruiters whose open requisitions stall and quietly die in the queue, because the right people never appear in the results rather than because the roles were unfillable</t>
  </si>
  <si>
    <t>AD GROUP 4 [ASPIRATION &amp; AMBITION]
Doubling one placement a month to two, turning fifteen fills last year into thirty this year, and billing like the elite recruiters</t>
  </si>
  <si>
    <t>Candidate search for recruiters competing to be among the top billers on their floor, who need a deeper shortlist on every brief rather than longer hours on the same one</t>
  </si>
  <si>
    <t>Researching Juicebox? See how Noyce gives you the next 500 candidates.</t>
  </si>
  <si>
    <t>Counted Your Fills This Year?</t>
  </si>
  <si>
    <t>AD GROUP 2 [FRUSTRATION OF THE RECRUITER]</t>
  </si>
  <si>
    <t>Thejas's Guidance</t>
  </si>
  <si>
    <t>Last year's total was a pipeline problem. Access a deeper talent pool this year.</t>
  </si>
  <si>
    <t>Set a Bigger Target</t>
  </si>
  <si>
    <t>Bring Your Hard to Fill Roles</t>
  </si>
  <si>
    <t>Set a bigger number this year. The same hours, with a deeper pool behind every brief.</t>
  </si>
  <si>
    <t>Last year's total was a pipeline problem. Start with a deeper talent pool.</t>
  </si>
  <si>
    <t>Placing 2 Candidates a Month?</t>
  </si>
  <si>
    <t>Doubling the number comes from a deeper talent pool, not from more manual work on your part.</t>
  </si>
  <si>
    <t>Start With One Hard Role</t>
  </si>
  <si>
    <t>Bring the role you could not fill last quarter and run the search on Noyce.</t>
  </si>
  <si>
    <t>Want to Be the Top Closer?</t>
  </si>
  <si>
    <t>5-7 yr search returns 1-2 yr profiles with internships
(Talk to the frustration)</t>
  </si>
  <si>
    <t>The recruiters at the top of the board are not luckier. They reach the deeper pool first.</t>
  </si>
  <si>
    <t xml:space="preserve">
Juicebox / PeopleGPT Alternative</t>
  </si>
  <si>
    <t>Double The Number with Noyce</t>
  </si>
  <si>
    <t>Doubling the number comes from a deeper talent pool instead of more manual work.</t>
  </si>
  <si>
    <t>President's Club This Year?</t>
  </si>
  <si>
    <t>You are not short on effort. You are short on the profiles nobody else is reaching.</t>
  </si>
  <si>
    <t xml:space="preserve">
juicebox alternative
peoplegpt alternative
juicebox vs</t>
  </si>
  <si>
    <t>Source Like the Best Do</t>
  </si>
  <si>
    <t>For Searches Juicebox Misses</t>
  </si>
  <si>
    <t>See Where They Look</t>
  </si>
  <si>
    <t>Juicebox misses the brief. Noyce finds qualified candidates that match your criteria.</t>
  </si>
  <si>
    <t>Leaving Juicebox Data Behind?</t>
  </si>
  <si>
    <t>Juicebox Fails Outside Tech?</t>
  </si>
  <si>
    <t>Juicebox Missed Your Brief?</t>
  </si>
  <si>
    <t>Built for recruiters working on briefs outside tech. Source candidates across industries.</t>
  </si>
  <si>
    <t>Search for one region, returns another. Reported repeatedly, unfixed</t>
  </si>
  <si>
    <t>500+ In the Same City</t>
  </si>
  <si>
    <t>Exact City-Level Sourcing</t>
  </si>
  <si>
    <t>No Out-of-Region Candidates</t>
  </si>
  <si>
    <t>No wrong-region candidates. Get verified shortlists locked to your exact city and brief.</t>
  </si>
  <si>
    <t>Geographic Matching That Works</t>
  </si>
  <si>
    <t>Exact Location Sourcing</t>
  </si>
  <si>
    <t>Local Candidates On-Spec</t>
  </si>
  <si>
    <t>Search tools miss location filters. Noyce finds candidates for your exact region.</t>
  </si>
  <si>
    <t>Describe your brief in natural english. Get precise, location-matched candidates.</t>
  </si>
  <si>
    <t>Cannot ensure a phrase is present or exclude profiles without it</t>
  </si>
  <si>
    <t>Exclude Unwanted Profiles</t>
  </si>
  <si>
    <t>Exact Phrase Inclusion Search</t>
  </si>
  <si>
    <t>Precise Inclusion &amp; Exclusion</t>
  </si>
  <si>
    <t>Enforce exact phrases or exclude specific terms. Get precision control on every run.</t>
  </si>
  <si>
    <t>Filter Out Bad-Fit Profiles</t>
  </si>
  <si>
    <t>Filter Out Fuzzy Matches</t>
  </si>
  <si>
    <t>Filter By Exact Requirements</t>
  </si>
  <si>
    <t>Give complex briefs and enforce exact exclusions. Built for recruiters who need precision.</t>
  </si>
  <si>
    <t>AD GROUP 3</t>
  </si>
  <si>
    <t>Juicebox Sourcing Quality</t>
  </si>
  <si>
    <t>juicebox sourcing
juicebox recruiter</t>
  </si>
  <si>
    <t>Juicebox Fails Outside Tech</t>
  </si>
  <si>
    <t>Tech Is Only 2.5% of US Hires</t>
  </si>
  <si>
    <t>Find candidates across Healthcare, Legal, Finance, Manufacturing and more.</t>
  </si>
  <si>
    <t>Juicebox Drifts Off Spec</t>
  </si>
  <si>
    <t>Uncalibrated Juicebox Agents</t>
  </si>
  <si>
    <t>Agents That Stay On-Spec</t>
  </si>
  <si>
    <t>Juicebox agents are uncalibrated and drift off spec. Get verified, precise matches fast.</t>
  </si>
  <si>
    <t>AD GROUP 4 [ROI Focused]</t>
  </si>
  <si>
    <t>Juicebox Cost vs ROI</t>
  </si>
  <si>
    <t>Thinking of Buying Juicebox?</t>
  </si>
  <si>
    <t>Stop Wasting Sourcing Hours</t>
  </si>
  <si>
    <t>Before paying for unverified matches, try Noyce. Get verified shortlists on the first run.</t>
  </si>
  <si>
    <t>Before You Buy Juicebox</t>
  </si>
  <si>
    <t>Ready to Buy Juicebox?</t>
  </si>
  <si>
    <t>Before Purchasing Juicebox</t>
  </si>
  <si>
    <t>Don't lock into expensive annual licenses for unmatched candidates.</t>
  </si>
  <si>
    <t>Get verified, on-spec talent on every run.</t>
  </si>
  <si>
    <t>Evaluating Juicebox pricing? Try Noyce before signing up for an annual lock-in.</t>
  </si>
  <si>
    <t>Run your toughest role for free.</t>
  </si>
  <si>
    <t>No Hidden Agent Add-Ons</t>
  </si>
  <si>
    <t>Priced for Solo Recruiters</t>
  </si>
  <si>
    <t>Don't get priced out by agent upgrades. Get verified shortlists at one fair price.</t>
  </si>
  <si>
    <t>Juicebox charges extra for agents. Noyce includes full agent sourcing with no add-ons.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</si>
</sst>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rgb="FF1D1C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3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left" shrinkToFit="0" vertical="bottom" wrapText="1"/>
    </xf>
    <xf borderId="0" fillId="3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left" vertical="bottom"/>
    </xf>
    <xf borderId="0" fillId="2" fontId="3" numFmtId="0" xfId="0" applyAlignment="1" applyFill="1" applyFont="1">
      <alignment horizontal="left" vertical="bottom"/>
    </xf>
    <xf borderId="0" fillId="4" fontId="1" numFmtId="0" xfId="0" applyAlignment="1" applyFill="1" applyFont="1">
      <alignment horizontal="center"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0" fillId="3" fontId="5" numFmtId="0" xfId="0" applyAlignment="1" applyFill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6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shrinkToFit="0" vertical="bottom" wrapText="1"/>
    </xf>
    <xf borderId="4" fillId="0" fontId="4" numFmtId="0" xfId="0" applyAlignment="1" applyBorder="1" applyFont="1">
      <alignment readingOrder="0"/>
    </xf>
    <xf borderId="2" fillId="0" fontId="3" numFmtId="0" xfId="0" applyAlignment="1" applyBorder="1" applyFont="1">
      <alignment horizontal="left" vertical="bottom"/>
    </xf>
    <xf borderId="2" fillId="0" fontId="4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left" readingOrder="0" vertical="bottom"/>
    </xf>
    <xf borderId="5" fillId="0" fontId="7" numFmtId="0" xfId="0" applyBorder="1" applyFont="1"/>
    <xf borderId="4" fillId="0" fontId="3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2" fillId="0" fontId="3" numFmtId="0" xfId="0" applyAlignment="1" applyBorder="1" applyFont="1">
      <alignment horizontal="left" readingOrder="0" shrinkToFit="0" vertical="bottom" wrapText="1"/>
    </xf>
    <xf borderId="6" fillId="0" fontId="7" numFmtId="0" xfId="0" applyBorder="1" applyFont="1"/>
    <xf borderId="2" fillId="0" fontId="6" numFmtId="0" xfId="0" applyAlignment="1" applyBorder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vertical="bottom"/>
    </xf>
    <xf borderId="7" fillId="4" fontId="1" numFmtId="0" xfId="0" applyAlignment="1" applyBorder="1" applyFill="1" applyFont="1">
      <alignment horizontal="center" readingOrder="0" shrinkToFit="0" vertical="bottom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2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left" shrinkToFit="0" vertical="bottom" wrapText="1"/>
    </xf>
    <xf borderId="2" fillId="0" fontId="4" numFmtId="0" xfId="0" applyAlignment="1" applyBorder="1" applyFont="1">
      <alignment horizontal="left" readingOrder="0"/>
    </xf>
    <xf borderId="2" fillId="0" fontId="4" numFmtId="0" xfId="0" applyBorder="1" applyFont="1"/>
    <xf borderId="0" fillId="0" fontId="4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8" numFmtId="0" xfId="0" applyAlignment="1" applyBorder="1" applyFont="1">
      <alignment horizontal="left" vertical="bottom"/>
    </xf>
    <xf borderId="3" fillId="4" fontId="1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1"/>
    </xf>
    <xf borderId="15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horizontal="left" vertical="bottom"/>
    </xf>
    <xf borderId="2" fillId="0" fontId="8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urav Arora" id="{834445e9-9229-4feb-8a02-71dd2e9edf8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0" dT="2026-09-25T06:00:54.00" personId="{834445e9-9229-4feb-8a02-71dd2e9edf8f}" id="{4d18c069-9775-4eb8-88c2-62d63afc3843}" done="0">
    <x18tc:text xml:space="preserve">ROI / speak to the ROI question</x18tc:text>
  </x18tc:threadedComment>
  <x18tc:threadedComment ref="A36" dT="2026-09-25T06:02:00.00" personId="{834445e9-9229-4feb-8a02-71dd2e9edf8f}" id="{dd6b8365-2d2f-4f18-a9f2-61a4ef62f188}" done="0">
    <x18tc:text xml:space="preserve">ROI focused</x18tc:text>
  </x18tc:threadedComment>
  <x18tc:threadedComment ref="A14" dT="2026-09-25T05:54:01.00" personId="{834445e9-9229-4feb-8a02-71dd2e9edf8f}" id="{7c4f27d2-eafc-41c5-a5f2-85b8d54d9a67}" done="0">
    <x18tc:text xml:space="preserve">- hard to fill roles
- tired of keyword or tag based matches
- exhausted your search on Juicebox</x18tc:text>
  </x18tc:threadedComment>
  <x18tc:threadedComment ref="J12" dT="2026-09-25T05:55:35.00" personId="{834445e9-9229-4feb-8a02-71dd2e9edf8f}" id="{307ecf9f-e901-4191-a14f-d7e567d88108}" done="0">
    <x18tc:text xml:space="preserve">- Skip boolean filters
- Talk to it like chatgpt / give a prompt</x18tc:text>
  </x18tc:threadedComment>
  <x18tc:threadedComment ref="O12" dT="2026-09-25T05:56:20.00" personId="{834445e9-9229-4feb-8a02-71dd2e9edf8f}" id="{6c628ee1-c5ef-42f5-828a-28e1719c2e16}" done="0">
    <x18tc:text xml:space="preserve">- filter / use fine-tune as words</x18tc:text>
  </x18tc:threadedComment>
  <x18tc:threadedComment ref="A18" dT="2026-09-25T05:57:18.00" personId="{834445e9-9229-4feb-8a02-71dd2e9edf8f}" id="{93cb8635-160b-43e3-ace4-d2cf49d890b7}" done="0">
    <x18tc:text xml:space="preserve">talk to the frustration of the recruiter</x18tc:text>
  </x18tc:threadedComment>
  <x18tc:threadedComment ref="A22" dT="2026-09-25T05:57:44.00" personId="{834445e9-9229-4feb-8a02-71dd2e9edf8f}" id="{6a36197b-48d5-4d37-8197-8d85fdabba70}" done="0">
    <x18tc:text xml:space="preserve">frustration of the recruiter</x18tc:text>
  </x18tc:threadedComment>
  <x18tc:threadedComment ref="A11" dT="2026-09-25T05:58:53.00" personId="{834445e9-9229-4feb-8a02-71dd2e9edf8f}" id="{ad212432-605a-43c0-b4df-2436d9ac0bae}" done="0">
    <x18tc:text xml:space="preserve">move this to frustration group</x18tc:text>
  </x18tc:threadedComment>
  <x18tc:threadedComment ref="A28" dT="2026-09-25T05:59:19.00" personId="{834445e9-9229-4feb-8a02-71dd2e9edf8f}" id="{48d1b7c1-3e70-4f6f-9216-b92b22f40fb2}" done="0">
    <x18tc:text xml:space="preserve">this will come under fear</x18tc:text>
  </x18tc:threadedComment>
  <x18tc:threadedComment ref="A30" dT="2026-09-25T05:59:32.00" personId="{834445e9-9229-4feb-8a02-71dd2e9edf8f}" id="{daf90c37-aba3-49c4-8a5b-37d8c1a6ff87}" done="0">
    <x18tc:text xml:space="preserve">frustration</x18tc:text>
  </x18tc:threadedComment>
  <x18tc:threadedComment ref="A34" dT="2026-09-25T06:00:24.00" personId="{834445e9-9229-4feb-8a02-71dd2e9edf8f}" id="{89f5dc3b-fcdd-49a6-a1da-4548f86c33b6}" done="0">
    <x18tc:text xml:space="preserve">affect your reputation
ROI focused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88"/>
    <col customWidth="1" min="3" max="3" width="17.38"/>
    <col customWidth="1" min="4" max="4" width="18.88"/>
    <col customWidth="1" min="5" max="5" width="17.88"/>
    <col customWidth="1" min="6" max="6" width="8.25"/>
    <col customWidth="1" min="7" max="7" width="29.63"/>
    <col customWidth="1" min="8" max="8" width="5.13"/>
    <col customWidth="1" min="9" max="9" width="9.75"/>
    <col customWidth="1" min="10" max="10" width="26.13"/>
    <col customWidth="1" min="11" max="11" width="5.0"/>
    <col customWidth="1" min="12" max="12" width="10.5"/>
    <col customWidth="1" min="13" max="13" width="25.75"/>
    <col customWidth="1" min="14" max="14" width="5.38"/>
    <col customWidth="1" min="15" max="15" width="37.38"/>
    <col customWidth="1" min="16" max="16" width="6.0"/>
    <col customWidth="1" min="17" max="17" width="13.13"/>
  </cols>
  <sheetData>
    <row r="1">
      <c r="A1" s="1" t="s">
        <v>0</v>
      </c>
      <c r="B1" s="3" t="s">
        <v>2</v>
      </c>
      <c r="C1" s="6" t="s">
        <v>3</v>
      </c>
      <c r="D1" s="5" t="s">
        <v>7</v>
      </c>
      <c r="E1" s="1" t="s">
        <v>16</v>
      </c>
      <c r="F1" s="5" t="s">
        <v>17</v>
      </c>
      <c r="G1" s="6" t="s">
        <v>9</v>
      </c>
      <c r="H1" s="7"/>
      <c r="I1" s="5" t="s">
        <v>17</v>
      </c>
      <c r="J1" s="6" t="s">
        <v>10</v>
      </c>
      <c r="K1" s="7"/>
      <c r="L1" s="5" t="s">
        <v>17</v>
      </c>
      <c r="M1" s="6" t="s">
        <v>12</v>
      </c>
      <c r="N1" s="7"/>
      <c r="O1" s="6" t="s">
        <v>11</v>
      </c>
      <c r="P1" s="7"/>
      <c r="Q1" s="1" t="s">
        <v>14</v>
      </c>
    </row>
    <row r="2">
      <c r="A2" s="12" t="s">
        <v>22</v>
      </c>
      <c r="D2" s="14"/>
      <c r="E2" s="17"/>
      <c r="F2" s="14"/>
      <c r="G2" s="14"/>
      <c r="H2" s="18"/>
      <c r="I2" s="14"/>
      <c r="J2" s="14"/>
      <c r="K2" s="18"/>
      <c r="L2" s="14"/>
      <c r="M2" s="14"/>
      <c r="N2" s="18"/>
      <c r="O2" s="19"/>
      <c r="P2" s="18"/>
      <c r="Q2" s="18"/>
    </row>
    <row r="3">
      <c r="A3" s="11" t="s">
        <v>29</v>
      </c>
      <c r="B3" s="11" t="s">
        <v>31</v>
      </c>
      <c r="C3" s="13" t="s">
        <v>33</v>
      </c>
      <c r="D3" s="15" t="s">
        <v>37</v>
      </c>
      <c r="E3" s="22"/>
      <c r="F3" s="15" t="s">
        <v>39</v>
      </c>
      <c r="G3" s="15" t="s">
        <v>40</v>
      </c>
      <c r="H3" s="21">
        <f t="shared" ref="H3:H15" si="1">len(G3)</f>
        <v>29</v>
      </c>
      <c r="I3" s="15"/>
      <c r="J3" s="15" t="s">
        <v>46</v>
      </c>
      <c r="K3" s="21">
        <f t="shared" ref="K3:K9" si="2">len(J3)</f>
        <v>22</v>
      </c>
      <c r="L3" s="15"/>
      <c r="M3" s="15" t="s">
        <v>51</v>
      </c>
      <c r="N3" s="21">
        <f t="shared" ref="N3:N15" si="3">len(M3)</f>
        <v>17</v>
      </c>
      <c r="O3" s="22" t="s">
        <v>54</v>
      </c>
      <c r="P3" s="21">
        <f t="shared" ref="P3:P20" si="4">len(O3)</f>
        <v>77</v>
      </c>
      <c r="Q3" s="21">
        <v>1.0</v>
      </c>
    </row>
    <row r="4">
      <c r="A4" s="24"/>
      <c r="B4" s="24"/>
      <c r="C4" s="24"/>
      <c r="D4" s="15" t="s">
        <v>37</v>
      </c>
      <c r="E4" s="22"/>
      <c r="F4" s="15" t="s">
        <v>39</v>
      </c>
      <c r="G4" s="15" t="s">
        <v>65</v>
      </c>
      <c r="H4" s="21">
        <f t="shared" si="1"/>
        <v>27</v>
      </c>
      <c r="I4" s="14"/>
      <c r="J4" s="31" t="s">
        <v>67</v>
      </c>
      <c r="K4" s="21">
        <f t="shared" si="2"/>
        <v>27</v>
      </c>
      <c r="L4" s="23"/>
      <c r="M4" s="23" t="s">
        <v>74</v>
      </c>
      <c r="N4" s="21">
        <f t="shared" si="3"/>
        <v>20</v>
      </c>
      <c r="O4" s="27" t="s">
        <v>76</v>
      </c>
      <c r="P4" s="21">
        <f t="shared" si="4"/>
        <v>89</v>
      </c>
      <c r="Q4" s="23">
        <v>1.0</v>
      </c>
    </row>
    <row r="5">
      <c r="A5" s="24"/>
      <c r="B5" s="24"/>
      <c r="C5" s="24"/>
      <c r="D5" s="15" t="s">
        <v>37</v>
      </c>
      <c r="E5" s="22" t="s">
        <v>78</v>
      </c>
      <c r="F5" s="15"/>
      <c r="G5" s="15" t="s">
        <v>80</v>
      </c>
      <c r="H5" s="21">
        <f t="shared" si="1"/>
        <v>26</v>
      </c>
      <c r="I5" s="23"/>
      <c r="J5" s="23" t="s">
        <v>84</v>
      </c>
      <c r="K5" s="21">
        <f t="shared" si="2"/>
        <v>27</v>
      </c>
      <c r="L5" s="23"/>
      <c r="M5" s="23" t="s">
        <v>86</v>
      </c>
      <c r="N5" s="21">
        <f t="shared" si="3"/>
        <v>24</v>
      </c>
      <c r="O5" s="22" t="s">
        <v>88</v>
      </c>
      <c r="P5" s="21">
        <f t="shared" si="4"/>
        <v>88</v>
      </c>
      <c r="Q5" s="23">
        <v>1.0</v>
      </c>
    </row>
    <row r="6">
      <c r="A6" s="24"/>
      <c r="B6" s="24"/>
      <c r="C6" s="24"/>
      <c r="D6" s="21"/>
      <c r="E6" s="45"/>
      <c r="F6" s="21"/>
      <c r="G6" s="21"/>
      <c r="H6" s="21">
        <f t="shared" si="1"/>
        <v>0</v>
      </c>
      <c r="I6" s="21"/>
      <c r="J6" s="21"/>
      <c r="K6" s="21">
        <f t="shared" si="2"/>
        <v>0</v>
      </c>
      <c r="L6" s="21"/>
      <c r="M6" s="21"/>
      <c r="N6" s="21">
        <f t="shared" si="3"/>
        <v>0</v>
      </c>
      <c r="O6" s="21"/>
      <c r="P6" s="21">
        <f t="shared" si="4"/>
        <v>0</v>
      </c>
      <c r="Q6" s="46"/>
    </row>
    <row r="7">
      <c r="A7" s="24"/>
      <c r="B7" s="24"/>
      <c r="C7" s="24"/>
      <c r="D7" s="21"/>
      <c r="E7" s="45"/>
      <c r="F7" s="21"/>
      <c r="G7" s="21"/>
      <c r="H7" s="21">
        <f t="shared" si="1"/>
        <v>0</v>
      </c>
      <c r="I7" s="21"/>
      <c r="J7" s="21"/>
      <c r="K7" s="21">
        <f t="shared" si="2"/>
        <v>0</v>
      </c>
      <c r="L7" s="21"/>
      <c r="M7" s="21"/>
      <c r="N7" s="21">
        <f t="shared" si="3"/>
        <v>0</v>
      </c>
      <c r="O7" s="21"/>
      <c r="P7" s="21">
        <f t="shared" si="4"/>
        <v>0</v>
      </c>
      <c r="Q7" s="47"/>
    </row>
    <row r="8">
      <c r="A8" s="24"/>
      <c r="B8" s="24"/>
      <c r="C8" s="24"/>
      <c r="D8" s="47"/>
      <c r="E8" s="48"/>
      <c r="H8" s="21">
        <f t="shared" si="1"/>
        <v>0</v>
      </c>
      <c r="K8" s="21">
        <f t="shared" si="2"/>
        <v>0</v>
      </c>
      <c r="L8" s="23"/>
      <c r="M8" s="23"/>
      <c r="N8" s="21">
        <f t="shared" si="3"/>
        <v>0</v>
      </c>
      <c r="O8" s="27"/>
      <c r="P8" s="21">
        <f t="shared" si="4"/>
        <v>0</v>
      </c>
      <c r="Q8" s="21"/>
    </row>
    <row r="9">
      <c r="A9" s="30"/>
      <c r="B9" s="24"/>
      <c r="C9" s="24"/>
      <c r="D9" s="21"/>
      <c r="E9" s="45"/>
      <c r="F9" s="21"/>
      <c r="G9" s="21"/>
      <c r="H9" s="21">
        <f t="shared" si="1"/>
        <v>0</v>
      </c>
      <c r="I9" s="21"/>
      <c r="J9" s="21"/>
      <c r="K9" s="21">
        <f t="shared" si="2"/>
        <v>0</v>
      </c>
      <c r="L9" s="21"/>
      <c r="M9" s="21"/>
      <c r="N9" s="21">
        <f t="shared" si="3"/>
        <v>0</v>
      </c>
      <c r="O9" s="21"/>
      <c r="P9" s="21">
        <f t="shared" si="4"/>
        <v>0</v>
      </c>
      <c r="Q9" s="21"/>
    </row>
    <row r="10">
      <c r="A10" s="45"/>
      <c r="B10" s="24"/>
      <c r="C10" s="24"/>
      <c r="D10" s="21"/>
      <c r="E10" s="45"/>
      <c r="F10" s="21"/>
      <c r="G10" s="21"/>
      <c r="H10" s="21">
        <f t="shared" si="1"/>
        <v>0</v>
      </c>
      <c r="I10" s="21"/>
      <c r="J10" s="21"/>
      <c r="K10" s="21"/>
      <c r="L10" s="21"/>
      <c r="M10" s="21"/>
      <c r="N10" s="21">
        <f t="shared" si="3"/>
        <v>0</v>
      </c>
      <c r="O10" s="21"/>
      <c r="P10" s="21">
        <f t="shared" si="4"/>
        <v>0</v>
      </c>
      <c r="Q10" s="21"/>
    </row>
    <row r="11">
      <c r="A11" s="41" t="s">
        <v>81</v>
      </c>
      <c r="B11" s="24"/>
      <c r="C11" s="24"/>
      <c r="D11" s="15" t="s">
        <v>37</v>
      </c>
      <c r="E11" s="27"/>
      <c r="F11" s="26"/>
      <c r="G11" s="26" t="s">
        <v>137</v>
      </c>
      <c r="H11" s="21">
        <f t="shared" si="1"/>
        <v>30</v>
      </c>
      <c r="I11" s="26"/>
      <c r="J11" s="26" t="s">
        <v>140</v>
      </c>
      <c r="K11" s="21">
        <f t="shared" ref="K11:K15" si="5">len(J11)</f>
        <v>27</v>
      </c>
      <c r="L11" s="47"/>
      <c r="M11" s="47"/>
      <c r="N11" s="21">
        <f t="shared" si="3"/>
        <v>0</v>
      </c>
      <c r="O11" s="27" t="s">
        <v>146</v>
      </c>
      <c r="P11" s="21">
        <f t="shared" si="4"/>
        <v>84</v>
      </c>
      <c r="Q11" s="21">
        <v>1.0</v>
      </c>
    </row>
    <row r="12">
      <c r="A12" s="45"/>
      <c r="B12" s="24"/>
      <c r="C12" s="24"/>
      <c r="D12" s="15" t="s">
        <v>122</v>
      </c>
      <c r="E12" s="29"/>
      <c r="F12" s="23"/>
      <c r="G12" s="23" t="s">
        <v>149</v>
      </c>
      <c r="H12" s="21">
        <f t="shared" si="1"/>
        <v>23</v>
      </c>
      <c r="I12" s="23"/>
      <c r="J12" s="23" t="s">
        <v>152</v>
      </c>
      <c r="K12" s="21">
        <f t="shared" si="5"/>
        <v>29</v>
      </c>
      <c r="L12" s="15"/>
      <c r="M12" s="15" t="s">
        <v>51</v>
      </c>
      <c r="N12" s="21">
        <f t="shared" si="3"/>
        <v>17</v>
      </c>
      <c r="O12" s="29" t="s">
        <v>153</v>
      </c>
      <c r="P12" s="21">
        <f t="shared" si="4"/>
        <v>83</v>
      </c>
      <c r="Q12" s="23">
        <v>1.0</v>
      </c>
    </row>
    <row r="13">
      <c r="A13" s="45"/>
      <c r="B13" s="24"/>
      <c r="C13" s="24"/>
      <c r="D13" s="21"/>
      <c r="E13" s="45"/>
      <c r="F13" s="21"/>
      <c r="G13" s="21"/>
      <c r="H13" s="21">
        <f t="shared" si="1"/>
        <v>0</v>
      </c>
      <c r="I13" s="21"/>
      <c r="J13" s="21"/>
      <c r="K13" s="21">
        <f t="shared" si="5"/>
        <v>0</v>
      </c>
      <c r="L13" s="21"/>
      <c r="M13" s="21"/>
      <c r="N13" s="21">
        <f t="shared" si="3"/>
        <v>0</v>
      </c>
      <c r="O13" s="21"/>
      <c r="P13" s="21">
        <f t="shared" si="4"/>
        <v>0</v>
      </c>
      <c r="Q13" s="21"/>
    </row>
    <row r="14">
      <c r="A14" s="41" t="s">
        <v>18</v>
      </c>
      <c r="B14" s="30"/>
      <c r="C14" s="30"/>
      <c r="D14" s="15" t="s">
        <v>37</v>
      </c>
      <c r="E14" s="27"/>
      <c r="F14" s="26"/>
      <c r="G14" s="26" t="s">
        <v>164</v>
      </c>
      <c r="H14" s="21">
        <f t="shared" si="1"/>
        <v>27</v>
      </c>
      <c r="I14" s="26"/>
      <c r="J14" s="26" t="s">
        <v>166</v>
      </c>
      <c r="K14" s="21">
        <f t="shared" si="5"/>
        <v>24</v>
      </c>
      <c r="L14" s="15"/>
      <c r="M14" s="15" t="s">
        <v>51</v>
      </c>
      <c r="N14" s="21">
        <f t="shared" si="3"/>
        <v>17</v>
      </c>
      <c r="O14" s="27" t="s">
        <v>171</v>
      </c>
      <c r="P14" s="21">
        <f t="shared" si="4"/>
        <v>73</v>
      </c>
      <c r="Q14" s="21">
        <v>1.0</v>
      </c>
    </row>
    <row r="15">
      <c r="A15" s="45"/>
      <c r="B15" s="45"/>
      <c r="C15" s="52"/>
      <c r="D15" s="15" t="s">
        <v>37</v>
      </c>
      <c r="E15" s="29"/>
      <c r="F15" s="23"/>
      <c r="G15" s="23" t="s">
        <v>178</v>
      </c>
      <c r="H15" s="21">
        <f t="shared" si="1"/>
        <v>22</v>
      </c>
      <c r="I15" s="23"/>
      <c r="J15" s="23" t="s">
        <v>181</v>
      </c>
      <c r="K15" s="21">
        <f t="shared" si="5"/>
        <v>25</v>
      </c>
      <c r="L15" s="23"/>
      <c r="M15" s="23" t="s">
        <v>84</v>
      </c>
      <c r="N15" s="21">
        <f t="shared" si="3"/>
        <v>27</v>
      </c>
      <c r="O15" s="29" t="s">
        <v>184</v>
      </c>
      <c r="P15" s="21">
        <f t="shared" si="4"/>
        <v>63</v>
      </c>
      <c r="Q15" s="21">
        <v>2.0</v>
      </c>
    </row>
    <row r="16">
      <c r="A16" s="45"/>
      <c r="B16" s="45"/>
      <c r="C16" s="52"/>
      <c r="D16" s="23"/>
      <c r="E16" s="29"/>
      <c r="F16" s="23"/>
      <c r="G16" s="23"/>
      <c r="H16" s="21"/>
      <c r="I16" s="23"/>
      <c r="J16" s="23"/>
      <c r="K16" s="21"/>
      <c r="L16" s="21"/>
      <c r="M16" s="21"/>
      <c r="N16" s="21"/>
      <c r="O16" s="29" t="s">
        <v>188</v>
      </c>
      <c r="P16" s="21">
        <f t="shared" si="4"/>
        <v>70</v>
      </c>
      <c r="Q16" s="21">
        <v>1.0</v>
      </c>
    </row>
    <row r="17">
      <c r="A17" s="53" t="s">
        <v>190</v>
      </c>
      <c r="B17" s="55"/>
      <c r="C17" s="56"/>
      <c r="D17" s="21"/>
      <c r="E17" s="45"/>
      <c r="F17" s="21"/>
      <c r="G17" s="21"/>
      <c r="H17" s="21">
        <f t="shared" ref="H17:H20" si="6">len(G17)</f>
        <v>0</v>
      </c>
      <c r="I17" s="21"/>
      <c r="J17" s="21"/>
      <c r="K17" s="21">
        <f t="shared" ref="K17:K20" si="7">len(J17)</f>
        <v>0</v>
      </c>
      <c r="L17" s="21"/>
      <c r="M17" s="21"/>
      <c r="N17" s="21">
        <f t="shared" ref="N17:N20" si="8">len(M17)</f>
        <v>0</v>
      </c>
      <c r="O17" s="21"/>
      <c r="P17" s="21">
        <f t="shared" si="4"/>
        <v>0</v>
      </c>
      <c r="Q17" s="21"/>
    </row>
    <row r="18">
      <c r="A18" s="28" t="s">
        <v>202</v>
      </c>
      <c r="B18" s="42" t="s">
        <v>204</v>
      </c>
      <c r="C18" s="43" t="s">
        <v>209</v>
      </c>
      <c r="D18" s="15" t="s">
        <v>122</v>
      </c>
      <c r="E18" s="29"/>
      <c r="F18" s="23"/>
      <c r="G18" s="23" t="s">
        <v>123</v>
      </c>
      <c r="H18" s="21">
        <f t="shared" si="6"/>
        <v>23</v>
      </c>
      <c r="I18" s="15"/>
      <c r="J18" s="15" t="s">
        <v>211</v>
      </c>
      <c r="K18" s="21">
        <f t="shared" si="7"/>
        <v>28</v>
      </c>
      <c r="L18" s="15"/>
      <c r="M18" s="15" t="s">
        <v>124</v>
      </c>
      <c r="N18" s="21">
        <f t="shared" si="8"/>
        <v>26</v>
      </c>
      <c r="O18" s="29" t="s">
        <v>213</v>
      </c>
      <c r="P18" s="21">
        <f t="shared" si="4"/>
        <v>85</v>
      </c>
      <c r="Q18" s="21">
        <v>1.0</v>
      </c>
    </row>
    <row r="19">
      <c r="A19" s="45"/>
      <c r="B19" s="24"/>
      <c r="C19" s="24"/>
      <c r="D19" s="15" t="s">
        <v>122</v>
      </c>
      <c r="E19" s="22"/>
      <c r="F19" s="15"/>
      <c r="G19" s="15" t="s">
        <v>214</v>
      </c>
      <c r="H19" s="21">
        <f t="shared" si="6"/>
        <v>29</v>
      </c>
      <c r="I19" s="15"/>
      <c r="J19" s="15" t="s">
        <v>215</v>
      </c>
      <c r="K19" s="21">
        <f t="shared" si="7"/>
        <v>28</v>
      </c>
      <c r="L19" s="23"/>
      <c r="M19" s="23" t="s">
        <v>216</v>
      </c>
      <c r="N19" s="21">
        <f t="shared" si="8"/>
        <v>27</v>
      </c>
      <c r="O19" s="29" t="s">
        <v>217</v>
      </c>
      <c r="P19" s="21">
        <f t="shared" si="4"/>
        <v>89</v>
      </c>
      <c r="Q19" s="23">
        <v>1.0</v>
      </c>
    </row>
    <row r="20">
      <c r="A20" s="45"/>
      <c r="B20" s="24"/>
      <c r="C20" s="24"/>
      <c r="D20" s="21"/>
      <c r="E20" s="45"/>
      <c r="F20" s="21"/>
      <c r="G20" s="21"/>
      <c r="H20" s="21">
        <f t="shared" si="6"/>
        <v>0</v>
      </c>
      <c r="I20" s="21"/>
      <c r="J20" s="21"/>
      <c r="K20" s="21">
        <f t="shared" si="7"/>
        <v>0</v>
      </c>
      <c r="L20" s="21"/>
      <c r="M20" s="21"/>
      <c r="N20" s="21">
        <f t="shared" si="8"/>
        <v>0</v>
      </c>
      <c r="O20" s="27"/>
      <c r="P20" s="21">
        <f t="shared" si="4"/>
        <v>0</v>
      </c>
      <c r="Q20" s="46"/>
    </row>
    <row r="21">
      <c r="A21" s="28"/>
      <c r="B21" s="24"/>
      <c r="C21" s="24"/>
      <c r="D21" s="23"/>
      <c r="E21" s="29"/>
      <c r="F21" s="23"/>
      <c r="G21" s="23"/>
      <c r="H21" s="21"/>
      <c r="I21" s="23"/>
      <c r="J21" s="23"/>
      <c r="K21" s="21"/>
      <c r="L21" s="23"/>
      <c r="M21" s="23"/>
      <c r="N21" s="21"/>
      <c r="O21" s="29"/>
      <c r="P21" s="21"/>
      <c r="Q21" s="23"/>
    </row>
    <row r="22">
      <c r="A22" s="28" t="s">
        <v>218</v>
      </c>
      <c r="B22" s="24"/>
      <c r="C22" s="24"/>
      <c r="D22" s="15" t="s">
        <v>37</v>
      </c>
      <c r="E22" s="27"/>
      <c r="F22" s="26"/>
      <c r="G22" s="26" t="s">
        <v>219</v>
      </c>
      <c r="H22" s="21">
        <f t="shared" ref="H22:H26" si="9">len(G22)</f>
        <v>21</v>
      </c>
      <c r="I22" s="26"/>
      <c r="J22" s="26" t="s">
        <v>220</v>
      </c>
      <c r="K22" s="21">
        <f t="shared" ref="K22:K26" si="10">len(J22)</f>
        <v>25</v>
      </c>
      <c r="L22" s="22"/>
      <c r="M22" s="22" t="s">
        <v>221</v>
      </c>
      <c r="N22" s="21">
        <f t="shared" ref="N22:N26" si="11">len(M22)</f>
        <v>27</v>
      </c>
      <c r="O22" s="29" t="s">
        <v>222</v>
      </c>
      <c r="P22" s="21">
        <f t="shared" ref="P22:P41" si="12">len(O22)</f>
        <v>88</v>
      </c>
      <c r="Q22" s="23">
        <v>1.0</v>
      </c>
    </row>
    <row r="23">
      <c r="A23" s="45"/>
      <c r="B23" s="24"/>
      <c r="C23" s="24"/>
      <c r="D23" s="15" t="s">
        <v>37</v>
      </c>
      <c r="E23" s="22"/>
      <c r="F23" s="15"/>
      <c r="G23" s="15" t="s">
        <v>223</v>
      </c>
      <c r="H23" s="21">
        <f t="shared" si="9"/>
        <v>30</v>
      </c>
      <c r="I23" s="23"/>
      <c r="J23" s="23" t="s">
        <v>224</v>
      </c>
      <c r="K23" s="21">
        <f t="shared" si="10"/>
        <v>23</v>
      </c>
      <c r="L23" s="23"/>
      <c r="M23" s="23" t="s">
        <v>225</v>
      </c>
      <c r="N23" s="21">
        <f t="shared" si="11"/>
        <v>24</v>
      </c>
      <c r="O23" s="27" t="s">
        <v>226</v>
      </c>
      <c r="P23" s="21">
        <f t="shared" si="12"/>
        <v>81</v>
      </c>
      <c r="Q23" s="23">
        <v>1.0</v>
      </c>
    </row>
    <row r="24">
      <c r="A24" s="45"/>
      <c r="B24" s="24"/>
      <c r="C24" s="24"/>
      <c r="D24" s="21"/>
      <c r="E24" s="45"/>
      <c r="F24" s="21"/>
      <c r="G24" s="21"/>
      <c r="H24" s="21">
        <f t="shared" si="9"/>
        <v>0</v>
      </c>
      <c r="I24" s="21"/>
      <c r="J24" s="21"/>
      <c r="K24" s="21">
        <f t="shared" si="10"/>
        <v>0</v>
      </c>
      <c r="L24" s="21"/>
      <c r="M24" s="21"/>
      <c r="N24" s="21">
        <f t="shared" si="11"/>
        <v>0</v>
      </c>
      <c r="O24" s="29" t="s">
        <v>227</v>
      </c>
      <c r="P24" s="21">
        <f t="shared" si="12"/>
        <v>81</v>
      </c>
      <c r="Q24" s="23">
        <v>1.0</v>
      </c>
    </row>
    <row r="25">
      <c r="A25" s="28" t="s">
        <v>228</v>
      </c>
      <c r="B25" s="24"/>
      <c r="C25" s="24"/>
      <c r="D25" s="15" t="s">
        <v>122</v>
      </c>
      <c r="E25" s="27"/>
      <c r="F25" s="26"/>
      <c r="G25" s="26" t="s">
        <v>229</v>
      </c>
      <c r="H25" s="21">
        <f t="shared" si="9"/>
        <v>25</v>
      </c>
      <c r="I25" s="26"/>
      <c r="J25" s="26" t="s">
        <v>230</v>
      </c>
      <c r="K25" s="21">
        <f t="shared" si="10"/>
        <v>29</v>
      </c>
      <c r="L25" s="26"/>
      <c r="M25" s="26" t="s">
        <v>231</v>
      </c>
      <c r="N25" s="21">
        <f t="shared" si="11"/>
        <v>29</v>
      </c>
      <c r="O25" s="27" t="s">
        <v>232</v>
      </c>
      <c r="P25" s="21">
        <f t="shared" si="12"/>
        <v>84</v>
      </c>
      <c r="Q25" s="23">
        <v>1.0</v>
      </c>
    </row>
    <row r="26">
      <c r="B26" s="30"/>
      <c r="C26" s="30"/>
      <c r="D26" s="15" t="s">
        <v>122</v>
      </c>
      <c r="E26" s="29"/>
      <c r="F26" s="23"/>
      <c r="G26" s="23" t="s">
        <v>233</v>
      </c>
      <c r="H26" s="21">
        <f t="shared" si="9"/>
        <v>27</v>
      </c>
      <c r="I26" s="23"/>
      <c r="J26" s="23" t="s">
        <v>234</v>
      </c>
      <c r="K26" s="21">
        <f t="shared" si="10"/>
        <v>24</v>
      </c>
      <c r="L26" s="23"/>
      <c r="M26" s="23" t="s">
        <v>235</v>
      </c>
      <c r="N26" s="21">
        <f t="shared" si="11"/>
        <v>28</v>
      </c>
      <c r="O26" s="29" t="s">
        <v>236</v>
      </c>
      <c r="P26" s="21">
        <f t="shared" si="12"/>
        <v>90</v>
      </c>
      <c r="Q26" s="23"/>
    </row>
    <row r="27">
      <c r="A27" s="53" t="s">
        <v>237</v>
      </c>
      <c r="B27" s="55"/>
      <c r="C27" s="56"/>
      <c r="D27" s="21"/>
      <c r="E27" s="45"/>
      <c r="F27" s="21"/>
      <c r="G27" s="21"/>
      <c r="H27" s="21"/>
      <c r="I27" s="21"/>
      <c r="J27" s="21"/>
      <c r="K27" s="21"/>
      <c r="L27" s="21"/>
      <c r="M27" s="21"/>
      <c r="N27" s="21"/>
      <c r="O27" s="29"/>
      <c r="P27" s="21">
        <f t="shared" si="12"/>
        <v>0</v>
      </c>
      <c r="Q27" s="23">
        <v>1.0</v>
      </c>
    </row>
    <row r="28">
      <c r="A28" s="28" t="s">
        <v>53</v>
      </c>
      <c r="B28" s="42" t="s">
        <v>238</v>
      </c>
      <c r="C28" s="59" t="s">
        <v>239</v>
      </c>
      <c r="D28" s="15" t="s">
        <v>37</v>
      </c>
      <c r="E28" s="27"/>
      <c r="F28" s="26"/>
      <c r="G28" s="26" t="s">
        <v>58</v>
      </c>
      <c r="H28" s="21">
        <f t="shared" ref="H28:H31" si="13">len(G28)</f>
        <v>28</v>
      </c>
      <c r="I28" s="26"/>
      <c r="J28" s="26" t="s">
        <v>240</v>
      </c>
      <c r="K28" s="21">
        <f t="shared" ref="K28:K37" si="14">len(J28)</f>
        <v>27</v>
      </c>
      <c r="L28" s="26"/>
      <c r="M28" s="26" t="s">
        <v>241</v>
      </c>
      <c r="N28" s="21">
        <f t="shared" ref="N28:N37" si="15">len(M28)</f>
        <v>29</v>
      </c>
      <c r="O28" s="27" t="s">
        <v>63</v>
      </c>
      <c r="P28" s="21">
        <f t="shared" si="12"/>
        <v>85</v>
      </c>
      <c r="Q28" s="23">
        <v>1.0</v>
      </c>
    </row>
    <row r="29">
      <c r="A29" s="51"/>
      <c r="B29" s="24"/>
      <c r="C29" s="24"/>
      <c r="D29" s="57"/>
      <c r="E29" s="60"/>
      <c r="F29" s="57"/>
      <c r="G29" s="21"/>
      <c r="H29" s="21">
        <f t="shared" si="13"/>
        <v>0</v>
      </c>
      <c r="I29" s="21"/>
      <c r="J29" s="21"/>
      <c r="K29" s="21">
        <f t="shared" si="14"/>
        <v>0</v>
      </c>
      <c r="L29" s="21"/>
      <c r="M29" s="21"/>
      <c r="N29" s="21">
        <f t="shared" si="15"/>
        <v>0</v>
      </c>
      <c r="O29" s="22" t="s">
        <v>242</v>
      </c>
      <c r="P29" s="21">
        <f t="shared" si="12"/>
        <v>74</v>
      </c>
      <c r="Q29" s="23">
        <v>2.0</v>
      </c>
    </row>
    <row r="30">
      <c r="A30" s="41" t="s">
        <v>128</v>
      </c>
      <c r="B30" s="24"/>
      <c r="C30" s="24"/>
      <c r="D30" s="15" t="s">
        <v>122</v>
      </c>
      <c r="E30" s="27"/>
      <c r="F30" s="26"/>
      <c r="G30" s="26" t="s">
        <v>243</v>
      </c>
      <c r="H30" s="21">
        <f t="shared" si="13"/>
        <v>24</v>
      </c>
      <c r="I30" s="26"/>
      <c r="J30" s="26" t="s">
        <v>244</v>
      </c>
      <c r="K30" s="21">
        <f t="shared" si="14"/>
        <v>28</v>
      </c>
      <c r="L30" s="23"/>
      <c r="M30" s="23" t="s">
        <v>245</v>
      </c>
      <c r="N30" s="21">
        <f t="shared" si="15"/>
        <v>24</v>
      </c>
      <c r="O30" s="27" t="s">
        <v>246</v>
      </c>
      <c r="P30" s="21">
        <f t="shared" si="12"/>
        <v>88</v>
      </c>
      <c r="Q30" s="23">
        <v>1.0</v>
      </c>
    </row>
    <row r="31">
      <c r="A31" s="51"/>
      <c r="B31" s="41"/>
      <c r="C31" s="50"/>
      <c r="D31" s="21"/>
      <c r="E31" s="45"/>
      <c r="F31" s="21"/>
      <c r="G31" s="21"/>
      <c r="H31" s="21">
        <f t="shared" si="13"/>
        <v>0</v>
      </c>
      <c r="I31" s="21"/>
      <c r="J31" s="21"/>
      <c r="K31" s="21">
        <f t="shared" si="14"/>
        <v>0</v>
      </c>
      <c r="L31" s="21"/>
      <c r="M31" s="21"/>
      <c r="N31" s="21">
        <f t="shared" si="15"/>
        <v>0</v>
      </c>
      <c r="O31" s="21"/>
      <c r="P31" s="21">
        <f t="shared" si="12"/>
        <v>0</v>
      </c>
      <c r="Q31" s="23"/>
    </row>
    <row r="32">
      <c r="A32" s="51"/>
      <c r="B32" s="51"/>
      <c r="C32" s="51"/>
      <c r="D32" s="21"/>
      <c r="E32" s="45"/>
      <c r="F32" s="21"/>
      <c r="G32" s="21"/>
      <c r="H32" s="21"/>
      <c r="I32" s="21"/>
      <c r="J32" s="21"/>
      <c r="K32" s="21">
        <f t="shared" si="14"/>
        <v>0</v>
      </c>
      <c r="L32" s="21"/>
      <c r="M32" s="21"/>
      <c r="N32" s="21">
        <f t="shared" si="15"/>
        <v>0</v>
      </c>
      <c r="O32" s="21"/>
      <c r="P32" s="21">
        <f t="shared" si="12"/>
        <v>0</v>
      </c>
      <c r="Q32" s="21"/>
    </row>
    <row r="33">
      <c r="A33" s="53" t="s">
        <v>247</v>
      </c>
      <c r="B33" s="55"/>
      <c r="C33" s="56"/>
      <c r="D33" s="21"/>
      <c r="E33" s="45"/>
      <c r="F33" s="21"/>
      <c r="G33" s="21"/>
      <c r="H33" s="21">
        <f t="shared" ref="H33:H37" si="16">len(G33)</f>
        <v>0</v>
      </c>
      <c r="I33" s="21"/>
      <c r="J33" s="21"/>
      <c r="K33" s="21">
        <f t="shared" si="14"/>
        <v>0</v>
      </c>
      <c r="L33" s="21"/>
      <c r="M33" s="21"/>
      <c r="N33" s="21">
        <f t="shared" si="15"/>
        <v>0</v>
      </c>
      <c r="O33" s="21"/>
      <c r="P33" s="21">
        <f t="shared" si="12"/>
        <v>0</v>
      </c>
      <c r="Q33" s="21"/>
    </row>
    <row r="34">
      <c r="A34" s="28" t="s">
        <v>138</v>
      </c>
      <c r="B34" s="42" t="s">
        <v>139</v>
      </c>
      <c r="C34" s="43" t="s">
        <v>141</v>
      </c>
      <c r="D34" s="15" t="s">
        <v>37</v>
      </c>
      <c r="E34" s="29"/>
      <c r="F34" s="23"/>
      <c r="G34" s="23" t="s">
        <v>248</v>
      </c>
      <c r="H34" s="21">
        <f t="shared" si="16"/>
        <v>20</v>
      </c>
      <c r="I34" s="26"/>
      <c r="J34" s="26" t="s">
        <v>249</v>
      </c>
      <c r="K34" s="21">
        <f t="shared" si="14"/>
        <v>28</v>
      </c>
      <c r="L34" s="26"/>
      <c r="M34" s="26" t="s">
        <v>250</v>
      </c>
      <c r="N34" s="21">
        <f t="shared" si="15"/>
        <v>27</v>
      </c>
      <c r="O34" s="27" t="s">
        <v>251</v>
      </c>
      <c r="P34" s="21">
        <f t="shared" si="12"/>
        <v>90</v>
      </c>
      <c r="Q34" s="23">
        <v>1.0</v>
      </c>
    </row>
    <row r="35">
      <c r="A35" s="45"/>
      <c r="B35" s="24"/>
      <c r="C35" s="24"/>
      <c r="D35" s="21"/>
      <c r="E35" s="45"/>
      <c r="F35" s="21"/>
      <c r="G35" s="21"/>
      <c r="H35" s="21">
        <f t="shared" si="16"/>
        <v>0</v>
      </c>
      <c r="I35" s="21"/>
      <c r="J35" s="21"/>
      <c r="K35" s="21">
        <f t="shared" si="14"/>
        <v>0</v>
      </c>
      <c r="L35" s="21"/>
      <c r="M35" s="21"/>
      <c r="N35" s="21">
        <f t="shared" si="15"/>
        <v>0</v>
      </c>
      <c r="O35" s="23"/>
      <c r="P35" s="21">
        <f t="shared" si="12"/>
        <v>0</v>
      </c>
      <c r="Q35" s="23"/>
    </row>
    <row r="36">
      <c r="A36" s="28" t="s">
        <v>158</v>
      </c>
      <c r="B36" s="24"/>
      <c r="C36" s="24"/>
      <c r="D36" s="15" t="s">
        <v>37</v>
      </c>
      <c r="E36" s="27"/>
      <c r="F36" s="26"/>
      <c r="G36" s="26" t="s">
        <v>252</v>
      </c>
      <c r="H36" s="21">
        <f t="shared" si="16"/>
        <v>23</v>
      </c>
      <c r="I36" s="23"/>
      <c r="J36" s="23" t="s">
        <v>253</v>
      </c>
      <c r="K36" s="21">
        <f t="shared" si="14"/>
        <v>22</v>
      </c>
      <c r="L36" s="23"/>
      <c r="M36" s="23" t="s">
        <v>254</v>
      </c>
      <c r="N36" s="21">
        <f t="shared" si="15"/>
        <v>26</v>
      </c>
      <c r="O36" s="27" t="s">
        <v>255</v>
      </c>
      <c r="P36" s="21">
        <f t="shared" si="12"/>
        <v>67</v>
      </c>
      <c r="Q36" s="23">
        <v>1.0</v>
      </c>
    </row>
    <row r="37">
      <c r="A37" s="45"/>
      <c r="B37" s="24"/>
      <c r="C37" s="24"/>
      <c r="D37" s="57"/>
      <c r="E37" s="60"/>
      <c r="F37" s="57"/>
      <c r="G37" s="21"/>
      <c r="H37" s="21">
        <f t="shared" si="16"/>
        <v>0</v>
      </c>
      <c r="I37" s="21"/>
      <c r="J37" s="21"/>
      <c r="K37" s="21">
        <f t="shared" si="14"/>
        <v>0</v>
      </c>
      <c r="L37" s="21"/>
      <c r="M37" s="21"/>
      <c r="N37" s="21">
        <f t="shared" si="15"/>
        <v>0</v>
      </c>
      <c r="O37" s="23" t="s">
        <v>256</v>
      </c>
      <c r="P37" s="21">
        <f t="shared" si="12"/>
        <v>42</v>
      </c>
      <c r="Q37" s="23">
        <v>2.0</v>
      </c>
    </row>
    <row r="38">
      <c r="A38" s="45"/>
      <c r="B38" s="24"/>
      <c r="C38" s="24"/>
      <c r="D38" s="57"/>
      <c r="E38" s="60"/>
      <c r="F38" s="57"/>
      <c r="G38" s="21"/>
      <c r="H38" s="21"/>
      <c r="I38" s="21"/>
      <c r="J38" s="21"/>
      <c r="K38" s="21"/>
      <c r="L38" s="21"/>
      <c r="M38" s="21"/>
      <c r="N38" s="21"/>
      <c r="O38" s="29" t="s">
        <v>257</v>
      </c>
      <c r="P38" s="21">
        <f t="shared" si="12"/>
        <v>79</v>
      </c>
      <c r="Q38" s="23">
        <v>1.0</v>
      </c>
    </row>
    <row r="39">
      <c r="A39" s="45"/>
      <c r="B39" s="24"/>
      <c r="C39" s="24"/>
      <c r="D39" s="57"/>
      <c r="E39" s="60"/>
      <c r="F39" s="57"/>
      <c r="G39" s="21"/>
      <c r="H39" s="21"/>
      <c r="I39" s="21"/>
      <c r="J39" s="21"/>
      <c r="K39" s="21"/>
      <c r="L39" s="21"/>
      <c r="M39" s="21"/>
      <c r="N39" s="21"/>
      <c r="O39" s="23" t="s">
        <v>258</v>
      </c>
      <c r="P39" s="21">
        <f t="shared" si="12"/>
        <v>32</v>
      </c>
      <c r="Q39" s="23">
        <v>2.0</v>
      </c>
    </row>
    <row r="40">
      <c r="A40" s="41" t="s">
        <v>170</v>
      </c>
      <c r="B40" s="24"/>
      <c r="C40" s="24"/>
      <c r="D40" s="15" t="s">
        <v>122</v>
      </c>
      <c r="E40" s="29"/>
      <c r="F40" s="23"/>
      <c r="G40" s="23" t="s">
        <v>259</v>
      </c>
      <c r="H40" s="21">
        <f t="shared" ref="H40:H41" si="17">len(G40)</f>
        <v>23</v>
      </c>
      <c r="I40" s="23"/>
      <c r="J40" s="23" t="s">
        <v>177</v>
      </c>
      <c r="K40" s="21">
        <f t="shared" ref="K40:K41" si="18">len(J40)</f>
        <v>26</v>
      </c>
      <c r="L40" s="23"/>
      <c r="M40" s="23" t="s">
        <v>260</v>
      </c>
      <c r="N40" s="21">
        <f t="shared" ref="N40:N41" si="19">len(M40)</f>
        <v>26</v>
      </c>
      <c r="O40" s="29" t="s">
        <v>261</v>
      </c>
      <c r="P40" s="21">
        <f t="shared" si="12"/>
        <v>82</v>
      </c>
      <c r="Q40" s="23">
        <v>1.0</v>
      </c>
    </row>
    <row r="41">
      <c r="A41" s="47"/>
      <c r="B41" s="41"/>
      <c r="C41" s="58"/>
      <c r="D41" s="21"/>
      <c r="E41" s="45"/>
      <c r="F41" s="21"/>
      <c r="G41" s="21"/>
      <c r="H41" s="21">
        <f t="shared" si="17"/>
        <v>0</v>
      </c>
      <c r="I41" s="21"/>
      <c r="J41" s="21"/>
      <c r="K41" s="21">
        <f t="shared" si="18"/>
        <v>0</v>
      </c>
      <c r="L41" s="21"/>
      <c r="M41" s="21"/>
      <c r="N41" s="21">
        <f t="shared" si="19"/>
        <v>0</v>
      </c>
      <c r="O41" s="22" t="s">
        <v>262</v>
      </c>
      <c r="P41" s="21">
        <f t="shared" si="12"/>
        <v>86</v>
      </c>
      <c r="Q41" s="23">
        <v>1.0</v>
      </c>
    </row>
  </sheetData>
  <mergeCells count="14">
    <mergeCell ref="A25:A26"/>
    <mergeCell ref="A27:C27"/>
    <mergeCell ref="B28:B30"/>
    <mergeCell ref="C28:C30"/>
    <mergeCell ref="A33:C33"/>
    <mergeCell ref="B34:B40"/>
    <mergeCell ref="C34:C40"/>
    <mergeCell ref="A2:C2"/>
    <mergeCell ref="A3:A9"/>
    <mergeCell ref="B3:B14"/>
    <mergeCell ref="C3:C14"/>
    <mergeCell ref="A17:C17"/>
    <mergeCell ref="B18:B26"/>
    <mergeCell ref="C18:C26"/>
  </mergeCells>
  <conditionalFormatting sqref="H2:H41">
    <cfRule type="expression" dxfId="0" priority="1">
      <formula>H2&gt;30</formula>
    </cfRule>
  </conditionalFormatting>
  <conditionalFormatting sqref="H2:H41">
    <cfRule type="expression" dxfId="1" priority="2">
      <formula>AND(H2&gt;0, H2&lt;=30)</formula>
    </cfRule>
  </conditionalFormatting>
  <conditionalFormatting sqref="N2:N41">
    <cfRule type="expression" dxfId="0" priority="3">
      <formula>N2&gt;30</formula>
    </cfRule>
  </conditionalFormatting>
  <conditionalFormatting sqref="N2:N41">
    <cfRule type="expression" dxfId="1" priority="4">
      <formula>AND(N2&gt;0, N2&lt;=30)</formula>
    </cfRule>
  </conditionalFormatting>
  <conditionalFormatting sqref="P2:P41">
    <cfRule type="expression" dxfId="0" priority="5">
      <formula>P2&gt;90</formula>
    </cfRule>
  </conditionalFormatting>
  <conditionalFormatting sqref="P2:P41">
    <cfRule type="expression" dxfId="1" priority="6">
      <formula>AND(P2&gt;0, P2&lt;=90)</formula>
    </cfRule>
  </conditionalFormatting>
  <conditionalFormatting sqref="K2:K41">
    <cfRule type="expression" dxfId="0" priority="7">
      <formula>K2&gt;90</formula>
    </cfRule>
  </conditionalFormatting>
  <conditionalFormatting sqref="K2:K41">
    <cfRule type="expression" dxfId="1" priority="8">
      <formula>AND(K2&gt;0, K2&lt;=30)</formula>
    </cfRule>
  </conditionalFormatting>
  <dataValidations>
    <dataValidation type="list" allowBlank="1" showErrorMessage="1" sqref="D3:D5 D11:D12 D14:D15 D18:D19 D22:D23 D25:D26 D28 D30 D34 D36 D40">
      <formula1>"Greenfield,Brownfield,Both"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88"/>
    <col customWidth="1" min="3" max="3" width="17.38"/>
    <col customWidth="1" min="4" max="4" width="17.88"/>
    <col customWidth="1" min="5" max="5" width="32.88"/>
    <col customWidth="1" min="6" max="6" width="5.13"/>
    <col customWidth="1" min="7" max="7" width="30.13"/>
    <col customWidth="1" min="8" max="8" width="5.0"/>
    <col customWidth="1" min="9" max="9" width="27.25"/>
    <col customWidth="1" min="10" max="10" width="5.38"/>
    <col customWidth="1" min="11" max="11" width="37.38"/>
    <col customWidth="1" min="12" max="12" width="6.0"/>
    <col customWidth="1" min="13" max="13" width="17.25"/>
  </cols>
  <sheetData>
    <row r="1">
      <c r="A1" s="1" t="s">
        <v>0</v>
      </c>
      <c r="B1" s="3" t="s">
        <v>2</v>
      </c>
      <c r="C1" s="6" t="s">
        <v>3</v>
      </c>
      <c r="D1" s="5" t="s">
        <v>7</v>
      </c>
      <c r="E1" s="6" t="s">
        <v>9</v>
      </c>
      <c r="F1" s="7"/>
      <c r="G1" s="6" t="s">
        <v>10</v>
      </c>
      <c r="H1" s="7"/>
      <c r="I1" s="6" t="s">
        <v>12</v>
      </c>
      <c r="J1" s="7"/>
      <c r="K1" s="6" t="s">
        <v>11</v>
      </c>
      <c r="L1" s="7"/>
      <c r="M1" s="1" t="s">
        <v>14</v>
      </c>
    </row>
    <row r="2">
      <c r="A2" s="8" t="s">
        <v>15</v>
      </c>
    </row>
    <row r="5">
      <c r="A5" s="10" t="s">
        <v>18</v>
      </c>
      <c r="B5" s="11" t="s">
        <v>20</v>
      </c>
      <c r="C5" s="13" t="s">
        <v>24</v>
      </c>
      <c r="D5" s="15" t="s">
        <v>25</v>
      </c>
      <c r="E5" s="15" t="s">
        <v>26</v>
      </c>
      <c r="F5" s="21">
        <f t="shared" ref="F5:F7" si="1">len(E5)</f>
        <v>26</v>
      </c>
      <c r="G5" s="15" t="s">
        <v>23</v>
      </c>
      <c r="H5" s="21">
        <f t="shared" ref="H5:H7" si="2">len(G5)</f>
        <v>24</v>
      </c>
      <c r="I5" s="23" t="s">
        <v>35</v>
      </c>
      <c r="J5" s="21">
        <f t="shared" ref="J5:J7" si="3">len(I5)</f>
        <v>29</v>
      </c>
      <c r="K5" s="22" t="s">
        <v>38</v>
      </c>
      <c r="L5" s="21">
        <f t="shared" ref="L5:L7" si="4">len(K5)</f>
        <v>77</v>
      </c>
      <c r="M5" s="21">
        <v>1.0</v>
      </c>
    </row>
    <row r="6">
      <c r="A6" s="10" t="s">
        <v>41</v>
      </c>
      <c r="B6" s="24"/>
      <c r="C6" s="24"/>
      <c r="D6" s="15" t="s">
        <v>37</v>
      </c>
      <c r="E6" s="15" t="s">
        <v>43</v>
      </c>
      <c r="F6" s="21">
        <f t="shared" si="1"/>
        <v>27</v>
      </c>
      <c r="G6" s="26" t="s">
        <v>44</v>
      </c>
      <c r="H6" s="21">
        <f t="shared" si="2"/>
        <v>27</v>
      </c>
      <c r="I6" s="15" t="s">
        <v>47</v>
      </c>
      <c r="J6" s="21">
        <f t="shared" si="3"/>
        <v>27</v>
      </c>
      <c r="K6" s="22" t="s">
        <v>49</v>
      </c>
      <c r="L6" s="21">
        <f t="shared" si="4"/>
        <v>88</v>
      </c>
      <c r="M6" s="23">
        <v>1.0</v>
      </c>
    </row>
    <row r="7">
      <c r="A7" s="28" t="s">
        <v>53</v>
      </c>
      <c r="B7" s="24"/>
      <c r="C7" s="24"/>
      <c r="D7" s="15" t="s">
        <v>25</v>
      </c>
      <c r="E7" s="15" t="s">
        <v>56</v>
      </c>
      <c r="F7" s="21">
        <f t="shared" si="1"/>
        <v>24</v>
      </c>
      <c r="G7" s="23" t="s">
        <v>58</v>
      </c>
      <c r="H7" s="21">
        <f t="shared" si="2"/>
        <v>28</v>
      </c>
      <c r="I7" s="23" t="s">
        <v>61</v>
      </c>
      <c r="J7" s="21">
        <f t="shared" si="3"/>
        <v>21</v>
      </c>
      <c r="K7" s="29" t="s">
        <v>63</v>
      </c>
      <c r="L7" s="21">
        <f t="shared" si="4"/>
        <v>85</v>
      </c>
      <c r="M7" s="23">
        <v>1.0</v>
      </c>
    </row>
    <row r="8">
      <c r="A8" s="28"/>
      <c r="B8" s="24"/>
      <c r="C8" s="24"/>
      <c r="D8" s="15"/>
      <c r="E8" s="15"/>
      <c r="F8" s="21"/>
      <c r="G8" s="23"/>
      <c r="H8" s="21"/>
      <c r="I8" s="23"/>
      <c r="J8" s="21"/>
      <c r="K8" s="29"/>
      <c r="L8" s="21"/>
      <c r="M8" s="23"/>
    </row>
    <row r="9">
      <c r="A9" s="33" t="s">
        <v>71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5"/>
    </row>
    <row r="10">
      <c r="A10" s="36"/>
      <c r="M10" s="37"/>
    </row>
    <row r="1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</row>
    <row r="12">
      <c r="A12" s="41" t="s">
        <v>81</v>
      </c>
      <c r="B12" s="42" t="s">
        <v>83</v>
      </c>
      <c r="C12" s="43" t="s">
        <v>89</v>
      </c>
      <c r="D12" s="15" t="s">
        <v>25</v>
      </c>
      <c r="E12" s="23" t="s">
        <v>91</v>
      </c>
      <c r="F12" s="21">
        <f t="shared" ref="F12:F19" si="5">len(E12)</f>
        <v>27</v>
      </c>
      <c r="G12" s="15" t="s">
        <v>94</v>
      </c>
      <c r="H12" s="21">
        <f t="shared" ref="H12:H19" si="6">len(G12)</f>
        <v>30</v>
      </c>
      <c r="I12" s="15" t="s">
        <v>95</v>
      </c>
      <c r="J12" s="21">
        <f t="shared" ref="J12:J18" si="7">len(I12)</f>
        <v>27</v>
      </c>
      <c r="K12" s="29" t="s">
        <v>98</v>
      </c>
      <c r="L12" s="21">
        <f t="shared" ref="L12:L19" si="8">len(K12)</f>
        <v>70</v>
      </c>
      <c r="M12" s="21">
        <v>1.0</v>
      </c>
    </row>
    <row r="13">
      <c r="A13" s="45"/>
      <c r="B13" s="24"/>
      <c r="C13" s="24"/>
      <c r="D13" s="15"/>
      <c r="E13" s="15" t="s">
        <v>103</v>
      </c>
      <c r="F13" s="21">
        <f t="shared" si="5"/>
        <v>30</v>
      </c>
      <c r="G13" s="15" t="s">
        <v>105</v>
      </c>
      <c r="H13" s="21">
        <f t="shared" si="6"/>
        <v>27</v>
      </c>
      <c r="I13" s="23" t="s">
        <v>106</v>
      </c>
      <c r="J13" s="21">
        <f t="shared" si="7"/>
        <v>26</v>
      </c>
      <c r="K13" s="29" t="s">
        <v>108</v>
      </c>
      <c r="L13" s="21">
        <f t="shared" si="8"/>
        <v>88</v>
      </c>
      <c r="M13" s="23"/>
    </row>
    <row r="14">
      <c r="A14" s="45"/>
      <c r="B14" s="24"/>
      <c r="C14" s="24"/>
      <c r="D14" s="21"/>
      <c r="E14" s="21"/>
      <c r="F14" s="21">
        <f t="shared" si="5"/>
        <v>0</v>
      </c>
      <c r="G14" s="21"/>
      <c r="H14" s="21">
        <f t="shared" si="6"/>
        <v>0</v>
      </c>
      <c r="I14" s="21"/>
      <c r="J14" s="21">
        <f t="shared" si="7"/>
        <v>0</v>
      </c>
      <c r="K14" s="27"/>
      <c r="L14" s="21">
        <f t="shared" si="8"/>
        <v>0</v>
      </c>
      <c r="M14" s="46"/>
    </row>
    <row r="15">
      <c r="A15" s="28" t="s">
        <v>113</v>
      </c>
      <c r="B15" s="24"/>
      <c r="C15" s="24"/>
      <c r="D15" s="15" t="s">
        <v>25</v>
      </c>
      <c r="E15" s="23" t="s">
        <v>115</v>
      </c>
      <c r="F15" s="21">
        <f t="shared" si="5"/>
        <v>27</v>
      </c>
      <c r="G15" s="23" t="s">
        <v>117</v>
      </c>
      <c r="H15" s="21">
        <f t="shared" si="6"/>
        <v>25</v>
      </c>
      <c r="I15" s="23" t="s">
        <v>118</v>
      </c>
      <c r="J15" s="21">
        <f t="shared" si="7"/>
        <v>25</v>
      </c>
      <c r="K15" s="29" t="s">
        <v>119</v>
      </c>
      <c r="L15" s="21">
        <f t="shared" si="8"/>
        <v>79</v>
      </c>
      <c r="M15" s="23"/>
    </row>
    <row r="16">
      <c r="A16" s="28"/>
      <c r="B16" s="24"/>
      <c r="C16" s="24"/>
      <c r="D16" s="15" t="s">
        <v>122</v>
      </c>
      <c r="E16" s="26" t="s">
        <v>123</v>
      </c>
      <c r="F16" s="21">
        <f t="shared" si="5"/>
        <v>23</v>
      </c>
      <c r="G16" s="15" t="s">
        <v>124</v>
      </c>
      <c r="H16" s="21">
        <f t="shared" si="6"/>
        <v>26</v>
      </c>
      <c r="I16" s="22"/>
      <c r="J16" s="21">
        <f t="shared" si="7"/>
        <v>0</v>
      </c>
      <c r="K16" s="29" t="s">
        <v>126</v>
      </c>
      <c r="L16" s="21">
        <f t="shared" si="8"/>
        <v>82</v>
      </c>
      <c r="M16" s="23">
        <v>1.0</v>
      </c>
    </row>
    <row r="17">
      <c r="A17" s="45"/>
      <c r="B17" s="24"/>
      <c r="C17" s="24"/>
      <c r="D17" s="15"/>
      <c r="E17" s="15"/>
      <c r="F17" s="21">
        <f t="shared" si="5"/>
        <v>0</v>
      </c>
      <c r="G17" s="23"/>
      <c r="H17" s="21">
        <f t="shared" si="6"/>
        <v>0</v>
      </c>
      <c r="I17" s="23"/>
      <c r="J17" s="21">
        <f t="shared" si="7"/>
        <v>0</v>
      </c>
      <c r="K17" s="27"/>
      <c r="L17" s="21">
        <f t="shared" si="8"/>
        <v>0</v>
      </c>
      <c r="M17" s="23">
        <v>1.0</v>
      </c>
    </row>
    <row r="18">
      <c r="A18" s="41" t="s">
        <v>128</v>
      </c>
      <c r="B18" s="24"/>
      <c r="C18" s="24"/>
      <c r="D18" s="15" t="s">
        <v>122</v>
      </c>
      <c r="E18" s="23" t="s">
        <v>129</v>
      </c>
      <c r="F18" s="21">
        <f t="shared" si="5"/>
        <v>26</v>
      </c>
      <c r="G18" s="23" t="s">
        <v>130</v>
      </c>
      <c r="H18" s="21">
        <f t="shared" si="6"/>
        <v>27</v>
      </c>
      <c r="I18" s="23" t="s">
        <v>114</v>
      </c>
      <c r="J18" s="21">
        <f t="shared" si="7"/>
        <v>29</v>
      </c>
      <c r="K18" s="29" t="s">
        <v>131</v>
      </c>
      <c r="L18" s="21">
        <f t="shared" si="8"/>
        <v>78</v>
      </c>
      <c r="M18" s="23">
        <v>1.0</v>
      </c>
    </row>
    <row r="19">
      <c r="A19" s="41"/>
      <c r="B19" s="42"/>
      <c r="C19" s="43"/>
      <c r="D19" s="15" t="s">
        <v>25</v>
      </c>
      <c r="E19" s="26" t="s">
        <v>132</v>
      </c>
      <c r="F19" s="21">
        <f t="shared" si="5"/>
        <v>28</v>
      </c>
      <c r="G19" s="23" t="s">
        <v>120</v>
      </c>
      <c r="H19" s="21">
        <f t="shared" si="6"/>
        <v>30</v>
      </c>
      <c r="I19" s="23"/>
      <c r="J19" s="21"/>
      <c r="K19" s="29" t="s">
        <v>134</v>
      </c>
      <c r="L19" s="21">
        <f t="shared" si="8"/>
        <v>84</v>
      </c>
      <c r="M19" s="23"/>
    </row>
    <row r="20">
      <c r="A20" s="33" t="s">
        <v>135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</row>
    <row r="21">
      <c r="A21" s="36"/>
      <c r="M21" s="37"/>
    </row>
    <row r="22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</row>
    <row r="23">
      <c r="A23" s="28" t="s">
        <v>138</v>
      </c>
      <c r="B23" s="42" t="s">
        <v>139</v>
      </c>
      <c r="C23" s="43" t="s">
        <v>141</v>
      </c>
      <c r="D23" s="15" t="s">
        <v>37</v>
      </c>
      <c r="E23" s="29" t="s">
        <v>143</v>
      </c>
      <c r="F23" s="21">
        <f t="shared" ref="F23:F25" si="9">len(E23)</f>
        <v>25</v>
      </c>
      <c r="G23" s="29" t="s">
        <v>145</v>
      </c>
      <c r="H23" s="21">
        <f t="shared" ref="H23:H25" si="10">len(G23)</f>
        <v>27</v>
      </c>
      <c r="I23" s="29" t="s">
        <v>148</v>
      </c>
      <c r="J23" s="21">
        <f>len(I23)</f>
        <v>29</v>
      </c>
      <c r="K23" s="50" t="s">
        <v>150</v>
      </c>
      <c r="L23" s="21">
        <f t="shared" ref="L23:L28" si="11">len(K23)</f>
        <v>74</v>
      </c>
      <c r="M23" s="23">
        <v>1.0</v>
      </c>
    </row>
    <row r="24">
      <c r="A24" s="51"/>
      <c r="B24" s="24"/>
      <c r="C24" s="24"/>
      <c r="D24" s="51"/>
      <c r="E24" s="29" t="s">
        <v>154</v>
      </c>
      <c r="F24" s="21">
        <f t="shared" si="9"/>
        <v>23</v>
      </c>
      <c r="G24" s="29" t="s">
        <v>156</v>
      </c>
      <c r="H24" s="21">
        <f t="shared" si="10"/>
        <v>26</v>
      </c>
      <c r="I24" s="51"/>
      <c r="J24" s="51"/>
      <c r="K24" s="29" t="s">
        <v>157</v>
      </c>
      <c r="L24" s="21">
        <f t="shared" si="11"/>
        <v>75</v>
      </c>
      <c r="M24" s="23">
        <v>1.0</v>
      </c>
    </row>
    <row r="25">
      <c r="A25" s="28" t="s">
        <v>158</v>
      </c>
      <c r="B25" s="24"/>
      <c r="C25" s="24"/>
      <c r="D25" s="15" t="s">
        <v>122</v>
      </c>
      <c r="E25" s="29" t="s">
        <v>159</v>
      </c>
      <c r="F25" s="21">
        <f t="shared" si="9"/>
        <v>25</v>
      </c>
      <c r="G25" s="29" t="s">
        <v>161</v>
      </c>
      <c r="H25" s="21">
        <f t="shared" si="10"/>
        <v>30</v>
      </c>
      <c r="I25" s="29" t="s">
        <v>162</v>
      </c>
      <c r="J25" s="21">
        <f>len(I25)</f>
        <v>30</v>
      </c>
      <c r="K25" s="29" t="s">
        <v>165</v>
      </c>
      <c r="L25" s="21">
        <f t="shared" si="11"/>
        <v>77</v>
      </c>
      <c r="M25" s="23">
        <v>1.0</v>
      </c>
    </row>
    <row r="26">
      <c r="A26" s="51"/>
      <c r="B26" s="24"/>
      <c r="C26" s="24"/>
      <c r="D26" s="51"/>
      <c r="E26" s="51"/>
      <c r="F26" s="51"/>
      <c r="G26" s="51"/>
      <c r="H26" s="51"/>
      <c r="I26" s="51"/>
      <c r="J26" s="51"/>
      <c r="K26" s="29" t="s">
        <v>168</v>
      </c>
      <c r="L26" s="21">
        <f t="shared" si="11"/>
        <v>73</v>
      </c>
      <c r="M26" s="23">
        <v>1.0</v>
      </c>
    </row>
    <row r="27">
      <c r="A27" s="41" t="s">
        <v>170</v>
      </c>
      <c r="B27" s="24"/>
      <c r="C27" s="24"/>
      <c r="D27" s="15" t="s">
        <v>122</v>
      </c>
      <c r="E27" s="29" t="s">
        <v>172</v>
      </c>
      <c r="F27" s="21">
        <f>len(E27)</f>
        <v>24</v>
      </c>
      <c r="G27" s="29" t="s">
        <v>175</v>
      </c>
      <c r="H27" s="21">
        <f>len(G27)</f>
        <v>30</v>
      </c>
      <c r="I27" s="29" t="s">
        <v>177</v>
      </c>
      <c r="J27" s="21">
        <f>len(I27)</f>
        <v>26</v>
      </c>
      <c r="K27" s="29" t="s">
        <v>180</v>
      </c>
      <c r="L27" s="21">
        <f t="shared" si="11"/>
        <v>84</v>
      </c>
      <c r="M27" s="23">
        <v>1.0</v>
      </c>
    </row>
    <row r="28">
      <c r="A28" s="51"/>
      <c r="B28" s="24"/>
      <c r="C28" s="24"/>
      <c r="D28" s="51"/>
      <c r="E28" s="51"/>
      <c r="F28" s="51"/>
      <c r="G28" s="51"/>
      <c r="H28" s="51"/>
      <c r="I28" s="51"/>
      <c r="J28" s="51"/>
      <c r="K28" s="29" t="s">
        <v>183</v>
      </c>
      <c r="L28" s="21">
        <f t="shared" si="11"/>
        <v>79</v>
      </c>
      <c r="M28" s="29">
        <v>2.0</v>
      </c>
    </row>
    <row r="29">
      <c r="A29" s="33" t="s">
        <v>186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5"/>
    </row>
    <row r="30">
      <c r="A30" s="36"/>
      <c r="M30" s="37"/>
    </row>
    <row r="3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>
      <c r="A32" s="54" t="s">
        <v>191</v>
      </c>
      <c r="C32" s="37"/>
      <c r="D32" s="15" t="s">
        <v>25</v>
      </c>
      <c r="E32" s="23" t="s">
        <v>189</v>
      </c>
      <c r="F32" s="21">
        <f t="shared" ref="F32:F34" si="12">len(E32)</f>
        <v>29</v>
      </c>
      <c r="G32" s="26" t="s">
        <v>193</v>
      </c>
      <c r="H32" s="21">
        <f t="shared" ref="H32:H34" si="13">len(G32)</f>
        <v>19</v>
      </c>
      <c r="I32" s="26" t="s">
        <v>194</v>
      </c>
      <c r="J32" s="21">
        <f t="shared" ref="J32:J34" si="14">len(I32)</f>
        <v>29</v>
      </c>
      <c r="K32" s="27" t="s">
        <v>196</v>
      </c>
      <c r="L32" s="21">
        <f t="shared" ref="L32:L37" si="15">len(K32)</f>
        <v>74</v>
      </c>
      <c r="M32" s="23">
        <v>1.0</v>
      </c>
    </row>
    <row r="33">
      <c r="C33" s="37"/>
      <c r="D33" s="21"/>
      <c r="E33" s="21"/>
      <c r="F33" s="21">
        <f t="shared" si="12"/>
        <v>0</v>
      </c>
      <c r="G33" s="21"/>
      <c r="H33" s="21">
        <f t="shared" si="13"/>
        <v>0</v>
      </c>
      <c r="I33" s="21"/>
      <c r="J33" s="21">
        <f t="shared" si="14"/>
        <v>0</v>
      </c>
      <c r="K33" s="23"/>
      <c r="L33" s="21">
        <f t="shared" si="15"/>
        <v>0</v>
      </c>
      <c r="M33" s="23"/>
    </row>
    <row r="34">
      <c r="C34" s="37"/>
      <c r="D34" s="15" t="s">
        <v>25</v>
      </c>
      <c r="E34" s="23" t="s">
        <v>197</v>
      </c>
      <c r="F34" s="21">
        <f t="shared" si="12"/>
        <v>29</v>
      </c>
      <c r="G34" s="26" t="s">
        <v>205</v>
      </c>
      <c r="H34" s="21">
        <f t="shared" si="13"/>
        <v>28</v>
      </c>
      <c r="I34" s="26" t="s">
        <v>199</v>
      </c>
      <c r="J34" s="21">
        <f t="shared" si="14"/>
        <v>24</v>
      </c>
      <c r="K34" s="27" t="s">
        <v>206</v>
      </c>
      <c r="L34" s="21">
        <f t="shared" si="15"/>
        <v>80</v>
      </c>
      <c r="M34" s="23">
        <v>1.0</v>
      </c>
    </row>
    <row r="35">
      <c r="C35" s="37"/>
      <c r="D35" s="57"/>
      <c r="E35" s="21"/>
      <c r="F35" s="21"/>
      <c r="G35" s="21"/>
      <c r="H35" s="21"/>
      <c r="I35" s="21"/>
      <c r="J35" s="21"/>
      <c r="K35" s="23"/>
      <c r="L35" s="21">
        <f t="shared" si="15"/>
        <v>0</v>
      </c>
      <c r="M35" s="23"/>
    </row>
    <row r="36">
      <c r="C36" s="37"/>
      <c r="D36" s="15" t="s">
        <v>25</v>
      </c>
      <c r="E36" s="23" t="s">
        <v>201</v>
      </c>
      <c r="F36" s="21">
        <f t="shared" ref="F36:F37" si="16">len(E36)</f>
        <v>26</v>
      </c>
      <c r="G36" s="23" t="s">
        <v>210</v>
      </c>
      <c r="H36" s="21">
        <f t="shared" ref="H36:H37" si="17">len(G36)</f>
        <v>23</v>
      </c>
      <c r="I36" s="23" t="s">
        <v>212</v>
      </c>
      <c r="J36" s="21">
        <f t="shared" ref="J36:J37" si="18">len(I36)</f>
        <v>19</v>
      </c>
      <c r="K36" s="29" t="s">
        <v>203</v>
      </c>
      <c r="L36" s="21">
        <f t="shared" si="15"/>
        <v>89</v>
      </c>
      <c r="M36" s="23">
        <v>1.0</v>
      </c>
    </row>
    <row r="37">
      <c r="A37" s="47"/>
      <c r="B37" s="41"/>
      <c r="C37" s="58"/>
      <c r="D37" s="21"/>
      <c r="E37" s="23" t="s">
        <v>207</v>
      </c>
      <c r="F37" s="21">
        <f t="shared" si="16"/>
        <v>27</v>
      </c>
      <c r="G37" s="21"/>
      <c r="H37" s="21">
        <f t="shared" si="17"/>
        <v>0</v>
      </c>
      <c r="I37" s="21"/>
      <c r="J37" s="21">
        <f t="shared" si="18"/>
        <v>0</v>
      </c>
      <c r="K37" s="22"/>
      <c r="L37" s="21">
        <f t="shared" si="15"/>
        <v>0</v>
      </c>
      <c r="M37" s="23"/>
    </row>
  </sheetData>
  <mergeCells count="11">
    <mergeCell ref="B23:B28"/>
    <mergeCell ref="C23:C28"/>
    <mergeCell ref="A29:M31"/>
    <mergeCell ref="A32:C36"/>
    <mergeCell ref="A2:M4"/>
    <mergeCell ref="B5:B8"/>
    <mergeCell ref="C5:C8"/>
    <mergeCell ref="A9:M11"/>
    <mergeCell ref="B12:B18"/>
    <mergeCell ref="C12:C18"/>
    <mergeCell ref="A20:M22"/>
  </mergeCells>
  <conditionalFormatting sqref="F5:F8 F12:F19 H15 J15 H18:H19 J18:J19 F23:F25 H23:H25 J23 J25 F27 H27 J27 F32:F37">
    <cfRule type="expression" dxfId="0" priority="1">
      <formula>F5&gt;30</formula>
    </cfRule>
  </conditionalFormatting>
  <conditionalFormatting sqref="F5:F8 F12:F19 H15 J15 H18:H19 J18:J19 F23:F25 H23:H25 J23 J25 F27 H27 J27 F32:F37">
    <cfRule type="expression" dxfId="1" priority="2">
      <formula>AND(F5&gt;0, F5&lt;=30)</formula>
    </cfRule>
  </conditionalFormatting>
  <conditionalFormatting sqref="J5:J8 J12:J19 J32:J37">
    <cfRule type="expression" dxfId="0" priority="3">
      <formula>J5&gt;30</formula>
    </cfRule>
  </conditionalFormatting>
  <conditionalFormatting sqref="J5:J8 J12:J19 J32:J37">
    <cfRule type="expression" dxfId="1" priority="4">
      <formula>AND(J5&gt;0, J5&lt;=30)</formula>
    </cfRule>
  </conditionalFormatting>
  <conditionalFormatting sqref="L5:L8 L12:L19 L23:L28 L32:L37">
    <cfRule type="expression" dxfId="0" priority="5">
      <formula>L5&gt;90</formula>
    </cfRule>
  </conditionalFormatting>
  <conditionalFormatting sqref="L5:L8 L12:L19 L23:L28 L32:L37">
    <cfRule type="expression" dxfId="1" priority="6">
      <formula>AND(L5&gt;0, L5&lt;=90)</formula>
    </cfRule>
  </conditionalFormatting>
  <conditionalFormatting sqref="H5:H8 J5:J6 H12:H19 H32:H37">
    <cfRule type="expression" dxfId="0" priority="7">
      <formula>H5&gt;90</formula>
    </cfRule>
  </conditionalFormatting>
  <conditionalFormatting sqref="H5:H8 J5:J6 H12:H19 H32:H37">
    <cfRule type="expression" dxfId="1" priority="8">
      <formula>AND(H5&gt;0, H5&lt;=30)</formula>
    </cfRule>
  </conditionalFormatting>
  <dataValidations>
    <dataValidation type="list" allowBlank="1" showErrorMessage="1" sqref="D5:D7 D12:D13 D15:D19 D23 D25 D27 D32 D34 D36">
      <formula1>"Greenfield,Brownfield,Both"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4" width="19.13"/>
    <col customWidth="1" min="5" max="5" width="42.88"/>
    <col customWidth="1" min="6" max="6" width="5.5"/>
    <col customWidth="1" min="7" max="7" width="76.13"/>
    <col customWidth="1" min="8" max="8" width="6.13"/>
  </cols>
  <sheetData>
    <row r="1">
      <c r="A1" s="4" t="s">
        <v>1</v>
      </c>
    </row>
    <row r="2">
      <c r="A2" s="5" t="s">
        <v>7</v>
      </c>
      <c r="B2" s="5" t="s">
        <v>4</v>
      </c>
      <c r="C2" s="5" t="s">
        <v>5</v>
      </c>
      <c r="D2" s="5" t="s">
        <v>6</v>
      </c>
      <c r="E2" s="5" t="s">
        <v>8</v>
      </c>
      <c r="F2" s="7"/>
      <c r="G2" s="6" t="s">
        <v>11</v>
      </c>
      <c r="H2" s="7"/>
    </row>
    <row r="3">
      <c r="A3" s="16"/>
      <c r="B3" s="9" t="s">
        <v>27</v>
      </c>
      <c r="C3" s="9" t="s">
        <v>28</v>
      </c>
      <c r="D3" s="9" t="s">
        <v>30</v>
      </c>
      <c r="E3" s="20" t="s">
        <v>32</v>
      </c>
      <c r="F3" s="21">
        <f t="shared" ref="F3:F9" si="1">len(E3)</f>
        <v>40</v>
      </c>
      <c r="G3" s="22" t="s">
        <v>36</v>
      </c>
      <c r="H3" s="21">
        <f t="shared" ref="H3:H9" si="2">len(G3)</f>
        <v>97</v>
      </c>
    </row>
    <row r="4">
      <c r="A4" s="16"/>
      <c r="B4" s="24"/>
      <c r="C4" s="24"/>
      <c r="D4" s="24"/>
      <c r="E4" s="25" t="s">
        <v>42</v>
      </c>
      <c r="F4" s="21">
        <f t="shared" si="1"/>
        <v>48</v>
      </c>
      <c r="G4" s="27" t="s">
        <v>45</v>
      </c>
      <c r="H4" s="21">
        <f t="shared" si="2"/>
        <v>99</v>
      </c>
    </row>
    <row r="5">
      <c r="A5" s="16"/>
      <c r="B5" s="24"/>
      <c r="C5" s="24"/>
      <c r="D5" s="24"/>
      <c r="E5" s="25" t="s">
        <v>50</v>
      </c>
      <c r="F5" s="21">
        <f t="shared" si="1"/>
        <v>48</v>
      </c>
      <c r="G5" s="22" t="s">
        <v>52</v>
      </c>
      <c r="H5" s="21">
        <f t="shared" si="2"/>
        <v>80</v>
      </c>
    </row>
    <row r="6">
      <c r="A6" s="16"/>
      <c r="B6" s="24"/>
      <c r="C6" s="24"/>
      <c r="D6" s="24"/>
      <c r="E6" s="25" t="s">
        <v>57</v>
      </c>
      <c r="F6" s="21">
        <f t="shared" si="1"/>
        <v>50</v>
      </c>
      <c r="G6" s="29" t="s">
        <v>60</v>
      </c>
      <c r="H6" s="21">
        <f t="shared" si="2"/>
        <v>81</v>
      </c>
    </row>
    <row r="7">
      <c r="A7" s="16"/>
      <c r="B7" s="24"/>
      <c r="C7" s="24"/>
      <c r="D7" s="24"/>
      <c r="E7" s="20" t="s">
        <v>64</v>
      </c>
      <c r="F7" s="21">
        <f t="shared" si="1"/>
        <v>42</v>
      </c>
      <c r="G7" s="15" t="s">
        <v>66</v>
      </c>
      <c r="H7" s="21">
        <f t="shared" si="2"/>
        <v>85</v>
      </c>
    </row>
    <row r="8">
      <c r="A8" s="16"/>
      <c r="B8" s="24"/>
      <c r="C8" s="24"/>
      <c r="D8" s="24"/>
      <c r="E8" s="20" t="s">
        <v>68</v>
      </c>
      <c r="F8" s="21">
        <f t="shared" si="1"/>
        <v>35</v>
      </c>
      <c r="G8" s="22" t="s">
        <v>69</v>
      </c>
      <c r="H8" s="21">
        <f t="shared" si="2"/>
        <v>97</v>
      </c>
    </row>
    <row r="9">
      <c r="A9" s="16"/>
      <c r="B9" s="30"/>
      <c r="C9" s="30"/>
      <c r="D9" s="30"/>
      <c r="E9" s="20" t="s">
        <v>72</v>
      </c>
      <c r="F9" s="21">
        <f t="shared" si="1"/>
        <v>48</v>
      </c>
      <c r="G9" s="22" t="s">
        <v>73</v>
      </c>
      <c r="H9" s="21">
        <f t="shared" si="2"/>
        <v>87</v>
      </c>
    </row>
    <row r="10">
      <c r="A10" s="32"/>
      <c r="B10" s="32"/>
      <c r="C10" s="32"/>
      <c r="D10" s="32"/>
      <c r="E10" s="32"/>
      <c r="F10" s="32"/>
      <c r="G10" s="32"/>
      <c r="H10" s="32"/>
    </row>
    <row r="11">
      <c r="A11" s="4" t="s">
        <v>75</v>
      </c>
    </row>
    <row r="12">
      <c r="A12" s="5" t="s">
        <v>7</v>
      </c>
      <c r="B12" s="5" t="s">
        <v>4</v>
      </c>
      <c r="C12" s="5" t="s">
        <v>5</v>
      </c>
      <c r="D12" s="5" t="s">
        <v>6</v>
      </c>
      <c r="E12" s="5" t="s">
        <v>8</v>
      </c>
      <c r="F12" s="7"/>
      <c r="G12" s="6" t="s">
        <v>11</v>
      </c>
      <c r="H12" s="7"/>
    </row>
    <row r="13">
      <c r="A13" s="15"/>
      <c r="B13" s="9" t="s">
        <v>77</v>
      </c>
      <c r="C13" s="9" t="s">
        <v>82</v>
      </c>
      <c r="D13" s="9" t="s">
        <v>85</v>
      </c>
      <c r="E13" s="15" t="s">
        <v>87</v>
      </c>
      <c r="F13" s="21">
        <f t="shared" ref="F13:F18" si="3">len(E13)</f>
        <v>31</v>
      </c>
      <c r="G13" s="22" t="s">
        <v>93</v>
      </c>
      <c r="H13" s="21">
        <f t="shared" ref="H13:H18" si="4">len(G13)</f>
        <v>80</v>
      </c>
    </row>
    <row r="14">
      <c r="A14" s="15"/>
      <c r="B14" s="24"/>
      <c r="C14" s="24"/>
      <c r="D14" s="24"/>
      <c r="E14" s="23" t="s">
        <v>96</v>
      </c>
      <c r="F14" s="21">
        <f t="shared" si="3"/>
        <v>46</v>
      </c>
      <c r="G14" s="27" t="s">
        <v>99</v>
      </c>
      <c r="H14" s="21">
        <f t="shared" si="4"/>
        <v>86</v>
      </c>
    </row>
    <row r="15">
      <c r="A15" s="15"/>
      <c r="B15" s="24"/>
      <c r="C15" s="24"/>
      <c r="D15" s="24"/>
      <c r="E15" s="23" t="s">
        <v>100</v>
      </c>
      <c r="F15" s="21">
        <f t="shared" si="3"/>
        <v>43</v>
      </c>
      <c r="G15" s="22" t="s">
        <v>101</v>
      </c>
      <c r="H15" s="21">
        <f t="shared" si="4"/>
        <v>90</v>
      </c>
    </row>
    <row r="16">
      <c r="A16" s="15"/>
      <c r="B16" s="24"/>
      <c r="C16" s="24"/>
      <c r="D16" s="24"/>
      <c r="E16" s="23" t="s">
        <v>102</v>
      </c>
      <c r="F16" s="21">
        <f t="shared" si="3"/>
        <v>44</v>
      </c>
      <c r="G16" s="29" t="s">
        <v>104</v>
      </c>
      <c r="H16" s="21">
        <f t="shared" si="4"/>
        <v>85</v>
      </c>
    </row>
    <row r="17">
      <c r="A17" s="15"/>
      <c r="B17" s="24"/>
      <c r="C17" s="24"/>
      <c r="D17" s="24"/>
      <c r="E17" s="23" t="s">
        <v>107</v>
      </c>
      <c r="F17" s="21">
        <f t="shared" si="3"/>
        <v>48</v>
      </c>
      <c r="G17" s="29" t="s">
        <v>109</v>
      </c>
      <c r="H17" s="21">
        <f t="shared" si="4"/>
        <v>76</v>
      </c>
    </row>
    <row r="18">
      <c r="A18" s="15"/>
      <c r="B18" s="30"/>
      <c r="C18" s="30"/>
      <c r="D18" s="30"/>
      <c r="E18" s="23" t="s">
        <v>111</v>
      </c>
      <c r="F18" s="21">
        <f t="shared" si="3"/>
        <v>29</v>
      </c>
      <c r="G18" s="29" t="s">
        <v>112</v>
      </c>
      <c r="H18" s="21">
        <f t="shared" si="4"/>
        <v>97</v>
      </c>
    </row>
  </sheetData>
  <mergeCells count="8">
    <mergeCell ref="A1:H1"/>
    <mergeCell ref="B3:B9"/>
    <mergeCell ref="C3:C9"/>
    <mergeCell ref="D3:D9"/>
    <mergeCell ref="A11:H11"/>
    <mergeCell ref="B13:B18"/>
    <mergeCell ref="C13:C18"/>
    <mergeCell ref="D13:D18"/>
  </mergeCells>
  <conditionalFormatting sqref="F3:F9 F13:F18">
    <cfRule type="expression" dxfId="0" priority="1">
      <formula>F3&gt;50</formula>
    </cfRule>
  </conditionalFormatting>
  <conditionalFormatting sqref="F3:F9 F13:F18">
    <cfRule type="expression" dxfId="1" priority="2">
      <formula>AND(F3&gt;0, F3&lt;=50)</formula>
    </cfRule>
  </conditionalFormatting>
  <conditionalFormatting sqref="H3:H9 H13:H18">
    <cfRule type="expression" dxfId="0" priority="3">
      <formula>H3&gt;100</formula>
    </cfRule>
  </conditionalFormatting>
  <conditionalFormatting sqref="H3:H9 H13:H18">
    <cfRule type="expression" dxfId="1" priority="4">
      <formula>AND(H3&gt;0, H3&lt;=100)</formula>
    </cfRule>
  </conditionalFormatting>
  <dataValidations>
    <dataValidation type="list" allowBlank="1" showErrorMessage="1" sqref="A3:A9 A13:A18">
      <formula1>"Fear,Frustration,ROI,Aspiration"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13"/>
    <col customWidth="1" min="4" max="4" width="42.88"/>
    <col customWidth="1" min="5" max="5" width="5.5"/>
    <col customWidth="1" min="6" max="6" width="76.13"/>
    <col customWidth="1" min="7" max="7" width="6.13"/>
  </cols>
  <sheetData>
    <row r="1">
      <c r="A1" s="2" t="s">
        <v>1</v>
      </c>
    </row>
    <row r="2">
      <c r="A2" s="5" t="s">
        <v>4</v>
      </c>
      <c r="B2" s="5" t="s">
        <v>5</v>
      </c>
      <c r="C2" s="5" t="s">
        <v>6</v>
      </c>
      <c r="D2" s="5" t="s">
        <v>8</v>
      </c>
      <c r="E2" s="7"/>
      <c r="F2" s="6" t="s">
        <v>11</v>
      </c>
      <c r="G2" s="7"/>
    </row>
    <row r="3">
      <c r="A3" s="9" t="s">
        <v>13</v>
      </c>
      <c r="B3" s="9" t="s">
        <v>19</v>
      </c>
      <c r="C3" s="9" t="s">
        <v>21</v>
      </c>
      <c r="D3" s="15" t="s">
        <v>23</v>
      </c>
      <c r="E3" s="21">
        <f t="shared" ref="E3:E7" si="1">len(D3)</f>
        <v>24</v>
      </c>
      <c r="F3" s="22" t="s">
        <v>34</v>
      </c>
      <c r="G3" s="21">
        <f t="shared" ref="G3:G7" si="2">len(F3)</f>
        <v>50</v>
      </c>
    </row>
    <row r="4">
      <c r="A4" s="24"/>
      <c r="B4" s="24"/>
      <c r="C4" s="24"/>
      <c r="D4" s="23" t="s">
        <v>35</v>
      </c>
      <c r="E4" s="21">
        <f t="shared" si="1"/>
        <v>29</v>
      </c>
      <c r="F4" s="27" t="s">
        <v>48</v>
      </c>
      <c r="G4" s="21">
        <f t="shared" si="2"/>
        <v>64</v>
      </c>
    </row>
    <row r="5">
      <c r="A5" s="24"/>
      <c r="B5" s="24"/>
      <c r="C5" s="24"/>
      <c r="D5" s="15" t="s">
        <v>43</v>
      </c>
      <c r="E5" s="21">
        <f t="shared" si="1"/>
        <v>27</v>
      </c>
      <c r="F5" s="22" t="s">
        <v>55</v>
      </c>
      <c r="G5" s="21">
        <f t="shared" si="2"/>
        <v>74</v>
      </c>
    </row>
    <row r="6">
      <c r="A6" s="24"/>
      <c r="B6" s="24"/>
      <c r="C6" s="24"/>
      <c r="D6" s="15" t="s">
        <v>59</v>
      </c>
      <c r="E6" s="21">
        <f t="shared" si="1"/>
        <v>41</v>
      </c>
      <c r="F6" s="29" t="s">
        <v>62</v>
      </c>
      <c r="G6" s="21">
        <f t="shared" si="2"/>
        <v>56</v>
      </c>
    </row>
    <row r="7">
      <c r="A7" s="30"/>
      <c r="B7" s="30"/>
      <c r="C7" s="30"/>
      <c r="D7" s="20" t="s">
        <v>56</v>
      </c>
      <c r="E7" s="21">
        <f t="shared" si="1"/>
        <v>24</v>
      </c>
      <c r="F7" s="22" t="s">
        <v>70</v>
      </c>
      <c r="G7" s="21">
        <f t="shared" si="2"/>
        <v>91</v>
      </c>
    </row>
    <row r="8">
      <c r="A8" s="32"/>
      <c r="B8" s="32"/>
      <c r="C8" s="32"/>
      <c r="D8" s="32"/>
      <c r="E8" s="32"/>
      <c r="F8" s="32"/>
      <c r="G8" s="32"/>
    </row>
    <row r="9">
      <c r="A9" s="2" t="s">
        <v>75</v>
      </c>
    </row>
    <row r="10">
      <c r="A10" s="5" t="s">
        <v>4</v>
      </c>
      <c r="B10" s="5" t="s">
        <v>5</v>
      </c>
      <c r="C10" s="5" t="s">
        <v>6</v>
      </c>
      <c r="D10" s="5" t="s">
        <v>8</v>
      </c>
      <c r="E10" s="7"/>
      <c r="F10" s="6" t="s">
        <v>11</v>
      </c>
      <c r="G10" s="7"/>
    </row>
    <row r="11">
      <c r="A11" s="9" t="s">
        <v>79</v>
      </c>
      <c r="B11" s="44" t="s">
        <v>90</v>
      </c>
      <c r="C11" s="44" t="s">
        <v>92</v>
      </c>
      <c r="D11" s="15" t="s">
        <v>91</v>
      </c>
      <c r="E11" s="21">
        <f t="shared" ref="E11:E17" si="3">len(D11)</f>
        <v>27</v>
      </c>
      <c r="F11" s="22" t="s">
        <v>97</v>
      </c>
      <c r="G11" s="21">
        <f t="shared" ref="G11:G17" si="4">len(F11)</f>
        <v>48</v>
      </c>
    </row>
    <row r="12">
      <c r="A12" s="24"/>
      <c r="B12" s="24"/>
      <c r="C12" s="24"/>
      <c r="D12" s="23" t="s">
        <v>103</v>
      </c>
      <c r="E12" s="21">
        <f t="shared" si="3"/>
        <v>30</v>
      </c>
      <c r="F12" s="27" t="s">
        <v>110</v>
      </c>
      <c r="G12" s="21">
        <f t="shared" si="4"/>
        <v>56</v>
      </c>
    </row>
    <row r="13">
      <c r="A13" s="24"/>
      <c r="B13" s="24"/>
      <c r="C13" s="24"/>
      <c r="D13" s="23" t="s">
        <v>114</v>
      </c>
      <c r="E13" s="21">
        <f t="shared" si="3"/>
        <v>29</v>
      </c>
      <c r="F13" s="22" t="s">
        <v>116</v>
      </c>
      <c r="G13" s="21">
        <f t="shared" si="4"/>
        <v>56</v>
      </c>
    </row>
    <row r="14">
      <c r="A14" s="24"/>
      <c r="B14" s="24"/>
      <c r="C14" s="24"/>
      <c r="D14" s="23" t="s">
        <v>120</v>
      </c>
      <c r="E14" s="21">
        <f t="shared" si="3"/>
        <v>30</v>
      </c>
      <c r="F14" s="26" t="s">
        <v>121</v>
      </c>
      <c r="G14" s="21">
        <f t="shared" si="4"/>
        <v>59</v>
      </c>
    </row>
    <row r="15">
      <c r="A15" s="24"/>
      <c r="B15" s="24"/>
      <c r="C15" s="24"/>
      <c r="D15" s="23" t="s">
        <v>125</v>
      </c>
      <c r="E15" s="21">
        <f t="shared" si="3"/>
        <v>31</v>
      </c>
      <c r="F15" s="29" t="s">
        <v>127</v>
      </c>
      <c r="G15" s="21">
        <f t="shared" si="4"/>
        <v>98</v>
      </c>
    </row>
    <row r="16">
      <c r="A16" s="24"/>
      <c r="B16" s="24"/>
      <c r="C16" s="24"/>
      <c r="D16" s="23" t="s">
        <v>123</v>
      </c>
      <c r="E16" s="21">
        <f t="shared" si="3"/>
        <v>23</v>
      </c>
      <c r="F16" s="29" t="s">
        <v>126</v>
      </c>
      <c r="G16" s="21">
        <f t="shared" si="4"/>
        <v>82</v>
      </c>
    </row>
    <row r="17">
      <c r="A17" s="30"/>
      <c r="B17" s="30"/>
      <c r="C17" s="30"/>
      <c r="D17" s="15" t="s">
        <v>132</v>
      </c>
      <c r="E17" s="21">
        <f t="shared" si="3"/>
        <v>28</v>
      </c>
      <c r="F17" s="15" t="s">
        <v>133</v>
      </c>
      <c r="G17" s="21">
        <f t="shared" si="4"/>
        <v>62</v>
      </c>
    </row>
    <row r="19">
      <c r="A19" s="2" t="s">
        <v>136</v>
      </c>
    </row>
    <row r="20">
      <c r="A20" s="5" t="s">
        <v>4</v>
      </c>
      <c r="B20" s="5" t="s">
        <v>5</v>
      </c>
      <c r="C20" s="5" t="s">
        <v>6</v>
      </c>
      <c r="D20" s="5" t="s">
        <v>8</v>
      </c>
      <c r="E20" s="7"/>
      <c r="F20" s="6" t="s">
        <v>11</v>
      </c>
      <c r="G20" s="7"/>
    </row>
    <row r="21">
      <c r="A21" s="9" t="s">
        <v>142</v>
      </c>
      <c r="B21" s="49" t="s">
        <v>144</v>
      </c>
      <c r="C21" s="49" t="s">
        <v>147</v>
      </c>
      <c r="D21" s="15" t="s">
        <v>143</v>
      </c>
      <c r="E21" s="21">
        <f t="shared" ref="E21:E27" si="5">len(D21)</f>
        <v>25</v>
      </c>
      <c r="F21" s="22" t="s">
        <v>151</v>
      </c>
      <c r="G21" s="21">
        <f t="shared" ref="G21:G27" si="6">len(F21)</f>
        <v>87</v>
      </c>
    </row>
    <row r="22">
      <c r="A22" s="24"/>
      <c r="B22" s="24"/>
      <c r="C22" s="24"/>
      <c r="D22" s="23" t="s">
        <v>145</v>
      </c>
      <c r="E22" s="21">
        <f t="shared" si="5"/>
        <v>27</v>
      </c>
      <c r="F22" s="27" t="s">
        <v>155</v>
      </c>
      <c r="G22" s="21">
        <f t="shared" si="6"/>
        <v>93</v>
      </c>
    </row>
    <row r="23">
      <c r="A23" s="24"/>
      <c r="B23" s="24"/>
      <c r="C23" s="24"/>
      <c r="D23" s="23" t="s">
        <v>148</v>
      </c>
      <c r="E23" s="21">
        <f t="shared" si="5"/>
        <v>29</v>
      </c>
      <c r="F23" s="22" t="s">
        <v>160</v>
      </c>
      <c r="G23" s="21">
        <f t="shared" si="6"/>
        <v>81</v>
      </c>
    </row>
    <row r="24">
      <c r="A24" s="24"/>
      <c r="B24" s="24"/>
      <c r="C24" s="24"/>
      <c r="D24" s="23" t="s">
        <v>159</v>
      </c>
      <c r="E24" s="21">
        <f t="shared" si="5"/>
        <v>25</v>
      </c>
      <c r="F24" s="26" t="s">
        <v>163</v>
      </c>
      <c r="G24" s="21">
        <f t="shared" si="6"/>
        <v>89</v>
      </c>
    </row>
    <row r="25">
      <c r="A25" s="24"/>
      <c r="B25" s="24"/>
      <c r="C25" s="24"/>
      <c r="D25" s="23" t="s">
        <v>167</v>
      </c>
      <c r="E25" s="21">
        <f t="shared" si="5"/>
        <v>50</v>
      </c>
      <c r="F25" s="29" t="s">
        <v>169</v>
      </c>
      <c r="G25" s="21">
        <f t="shared" si="6"/>
        <v>93</v>
      </c>
    </row>
    <row r="26">
      <c r="A26" s="24"/>
      <c r="B26" s="24"/>
      <c r="C26" s="24"/>
      <c r="D26" s="23" t="s">
        <v>173</v>
      </c>
      <c r="E26" s="21">
        <f t="shared" si="5"/>
        <v>32</v>
      </c>
      <c r="F26" s="29" t="s">
        <v>174</v>
      </c>
      <c r="G26" s="21">
        <f t="shared" si="6"/>
        <v>100</v>
      </c>
    </row>
    <row r="27">
      <c r="A27" s="30"/>
      <c r="B27" s="30"/>
      <c r="C27" s="30"/>
      <c r="D27" s="15" t="s">
        <v>172</v>
      </c>
      <c r="E27" s="21">
        <f t="shared" si="5"/>
        <v>24</v>
      </c>
      <c r="F27" s="15" t="s">
        <v>176</v>
      </c>
      <c r="G27" s="21">
        <f t="shared" si="6"/>
        <v>93</v>
      </c>
    </row>
    <row r="29">
      <c r="A29" s="2" t="s">
        <v>179</v>
      </c>
    </row>
    <row r="30">
      <c r="A30" s="5" t="s">
        <v>4</v>
      </c>
      <c r="B30" s="5" t="s">
        <v>5</v>
      </c>
      <c r="C30" s="5" t="s">
        <v>6</v>
      </c>
      <c r="D30" s="5" t="s">
        <v>8</v>
      </c>
      <c r="E30" s="7"/>
      <c r="F30" s="6" t="s">
        <v>11</v>
      </c>
      <c r="G30" s="7"/>
    </row>
    <row r="31">
      <c r="A31" s="9" t="s">
        <v>182</v>
      </c>
      <c r="B31" s="49" t="s">
        <v>185</v>
      </c>
      <c r="C31" s="49" t="s">
        <v>187</v>
      </c>
      <c r="D31" s="15" t="s">
        <v>189</v>
      </c>
      <c r="E31" s="21">
        <f t="shared" ref="E31:E36" si="7">len(D31)</f>
        <v>29</v>
      </c>
      <c r="F31" s="22" t="s">
        <v>192</v>
      </c>
      <c r="G31" s="21">
        <f t="shared" ref="G31:G36" si="8">len(F31)</f>
        <v>80</v>
      </c>
    </row>
    <row r="32">
      <c r="A32" s="24"/>
      <c r="B32" s="24"/>
      <c r="C32" s="24"/>
      <c r="D32" s="23" t="s">
        <v>193</v>
      </c>
      <c r="E32" s="21">
        <f t="shared" si="7"/>
        <v>19</v>
      </c>
      <c r="F32" s="27" t="s">
        <v>195</v>
      </c>
      <c r="G32" s="21">
        <f t="shared" si="8"/>
        <v>85</v>
      </c>
    </row>
    <row r="33">
      <c r="A33" s="24"/>
      <c r="B33" s="24"/>
      <c r="C33" s="24"/>
      <c r="D33" s="23" t="s">
        <v>197</v>
      </c>
      <c r="E33" s="21">
        <f t="shared" si="7"/>
        <v>29</v>
      </c>
      <c r="F33" s="22" t="s">
        <v>198</v>
      </c>
      <c r="G33" s="21">
        <f t="shared" si="8"/>
        <v>92</v>
      </c>
    </row>
    <row r="34">
      <c r="A34" s="24"/>
      <c r="B34" s="24"/>
      <c r="C34" s="24"/>
      <c r="D34" s="23" t="s">
        <v>199</v>
      </c>
      <c r="E34" s="21">
        <f t="shared" si="7"/>
        <v>24</v>
      </c>
      <c r="F34" s="26" t="s">
        <v>200</v>
      </c>
      <c r="G34" s="21">
        <f t="shared" si="8"/>
        <v>75</v>
      </c>
    </row>
    <row r="35">
      <c r="A35" s="24"/>
      <c r="B35" s="24"/>
      <c r="C35" s="24"/>
      <c r="D35" s="23" t="s">
        <v>201</v>
      </c>
      <c r="E35" s="21">
        <f t="shared" si="7"/>
        <v>26</v>
      </c>
      <c r="F35" s="29" t="s">
        <v>203</v>
      </c>
      <c r="G35" s="21">
        <f t="shared" si="8"/>
        <v>89</v>
      </c>
    </row>
    <row r="36">
      <c r="A36" s="24"/>
      <c r="B36" s="24"/>
      <c r="C36" s="24"/>
      <c r="D36" s="23" t="s">
        <v>207</v>
      </c>
      <c r="E36" s="21">
        <f t="shared" si="7"/>
        <v>27</v>
      </c>
      <c r="F36" s="29" t="s">
        <v>208</v>
      </c>
      <c r="G36" s="21">
        <f t="shared" si="8"/>
        <v>83</v>
      </c>
    </row>
    <row r="37">
      <c r="A37" s="30"/>
      <c r="B37" s="30"/>
      <c r="C37" s="30"/>
      <c r="D37" s="15"/>
      <c r="E37" s="21"/>
      <c r="F37" s="15"/>
      <c r="G37" s="21"/>
    </row>
  </sheetData>
  <mergeCells count="16">
    <mergeCell ref="A1:G1"/>
    <mergeCell ref="A3:A7"/>
    <mergeCell ref="B3:B7"/>
    <mergeCell ref="C3:C7"/>
    <mergeCell ref="A9:G9"/>
    <mergeCell ref="A11:A17"/>
    <mergeCell ref="B11:B17"/>
    <mergeCell ref="B31:B37"/>
    <mergeCell ref="C31:C37"/>
    <mergeCell ref="C11:C17"/>
    <mergeCell ref="A19:G19"/>
    <mergeCell ref="A21:A27"/>
    <mergeCell ref="B21:B27"/>
    <mergeCell ref="C21:C27"/>
    <mergeCell ref="A29:G29"/>
    <mergeCell ref="A31:A37"/>
  </mergeCells>
  <conditionalFormatting sqref="E3:E7 E11:E17 E21:E27 E31:E37">
    <cfRule type="expression" dxfId="0" priority="1">
      <formula>E3&gt;50</formula>
    </cfRule>
  </conditionalFormatting>
  <conditionalFormatting sqref="E3:E7 E11:E17 E21:E27 E31:E37">
    <cfRule type="expression" dxfId="1" priority="2">
      <formula>AND(E3&gt;0, E3&lt;=50)</formula>
    </cfRule>
  </conditionalFormatting>
  <conditionalFormatting sqref="G3:G7 G11:G17 G21:G27 G31:G37">
    <cfRule type="expression" dxfId="0" priority="3">
      <formula>G3&gt;100</formula>
    </cfRule>
  </conditionalFormatting>
  <conditionalFormatting sqref="G3:G7 G11:G17 G21:G27 G31:G37">
    <cfRule type="expression" dxfId="1" priority="4">
      <formula>AND(G3&gt;0, G3&lt;=100)</formula>
    </cfRule>
  </conditionalFormatting>
  <drawing r:id="rId1"/>
</worksheet>
</file>