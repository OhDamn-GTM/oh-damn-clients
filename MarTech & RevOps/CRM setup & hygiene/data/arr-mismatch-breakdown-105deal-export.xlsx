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R vs. Annual Recurring Revenu" sheetId="1" r:id="rId5"/>
    <sheet state="visible" name="Legend" sheetId="2" r:id="rId6"/>
  </sheets>
  <definedNames/>
  <calcPr/>
</workbook>
</file>

<file path=xl/sharedStrings.xml><?xml version="1.0" encoding="utf-8"?>
<sst xmlns="http://schemas.openxmlformats.org/spreadsheetml/2006/main" count="125" uniqueCount="122">
  <si>
    <t>Record ID</t>
  </si>
  <si>
    <t>Deal Name</t>
  </si>
  <si>
    <t>Annual recurring revenue</t>
  </si>
  <si>
    <t>Annual Recurring Revenue (ARR)</t>
  </si>
  <si>
    <t>Difference</t>
  </si>
  <si>
    <t>Mismatch?</t>
  </si>
  <si>
    <t>Match</t>
  </si>
  <si>
    <t>Mismatch Type</t>
  </si>
  <si>
    <t>hs_arr and the custom ARR property have the exact same value. These 40 deals are clean and need no action. They can safely rely on either property once we consolidate.</t>
  </si>
  <si>
    <t>Zero hs_arr</t>
  </si>
  <si>
    <t>hs_arr is 0 while the custom ARR property has a real value. Since hs_arr is a native HubSpot property that typically calculates off recurring-revenue line items attached to the deal, a value of exactly 0 (not blank) usually means the deal has no such line items configured. Fix: add the correct recurring-revenue line items to these 16 deals so hs_arr calculates correctly. Once fixed, most of these should self-resolve into Matches.</t>
  </si>
  <si>
    <t>Bath Rugby</t>
  </si>
  <si>
    <t>Zero custom ARR</t>
  </si>
  <si>
    <t>the reverse case: the custom ARR property is 0 while hs_arr has a value. We have 0 deals in this bucket currently, meaning the custom property was never left at zero while hs_arr had data. Worth noting as a small confirming data point that the custom property was manually maintained more sparingly than hs_arr.</t>
  </si>
  <si>
    <t>Genuine conflict</t>
  </si>
  <si>
    <t>both properties have a non-zero value, but the values disagree. These 49 deals are the real review list. Each one needs someone to open the deal record and figure out why the two numbers diverge (stale manual entry, incorrect line-item pricing, a partial edit that only updated one property, etc.). This is the bucket to assign owners against, and where the FX deals identified earlier (Qiddiya, Maratona, OVG, Qatar F1, SecurEvent, Penny Lane, Trikala, Singapore GP) mostly land.</t>
  </si>
  <si>
    <t>Total mismatches</t>
  </si>
  <si>
    <t>Advanced Event Solutions - Preston Carnival</t>
  </si>
  <si>
    <t xml:space="preserve">Reflex Systems - Wynthesawe Housing Project </t>
  </si>
  <si>
    <t>Total matches</t>
  </si>
  <si>
    <t>Sleek Events</t>
  </si>
  <si>
    <t>University College Birmingham</t>
  </si>
  <si>
    <t>LFX Events</t>
  </si>
  <si>
    <t>Motiv Sports</t>
  </si>
  <si>
    <t>The Jockey Club Racecourses</t>
  </si>
  <si>
    <t>Northampton Saints</t>
  </si>
  <si>
    <t>Mint Command - Minor Events</t>
  </si>
  <si>
    <t>Super League International Ltd (Blenheim Palace Triathlon 2026)</t>
  </si>
  <si>
    <t xml:space="preserve">Maratona Clube de Portugal (Lisbon Marathon) </t>
  </si>
  <si>
    <t>Events Resilience Group</t>
  </si>
  <si>
    <t>Formula 1® - Annual GSOC Tender</t>
  </si>
  <si>
    <t>Event Medical Consultancy</t>
  </si>
  <si>
    <t xml:space="preserve">Burton Albion FC </t>
  </si>
  <si>
    <t>AFC Wimbledon</t>
  </si>
  <si>
    <t>Ascot Racecourse</t>
  </si>
  <si>
    <t>Medway Council - Rochester Christmas Market</t>
  </si>
  <si>
    <t>Qiddiya City Command Unit - Full Cycle</t>
  </si>
  <si>
    <t>North Yorkshire Council - Scarborough (Stone Bailey)</t>
  </si>
  <si>
    <t>Lord Mayor's Show - Stone Bailey</t>
  </si>
  <si>
    <t>Code 9 Group</t>
  </si>
  <si>
    <t>Principality Stadium</t>
  </si>
  <si>
    <t>Young Scientist &amp; Technology Exhibition (Ireland)</t>
  </si>
  <si>
    <t>Medicall</t>
  </si>
  <si>
    <t>Parallel Lifestyle Limited (Innovison)</t>
  </si>
  <si>
    <t>Tulleys Farm</t>
  </si>
  <si>
    <t>Rubicon Wales (Security Company)</t>
  </si>
  <si>
    <t>THE.TEAM (TeamWass)</t>
  </si>
  <si>
    <t>Grooveyard</t>
  </si>
  <si>
    <t>Run4Wales (Support)</t>
  </si>
  <si>
    <t>OVG ME/Zayed Sports City</t>
  </si>
  <si>
    <t>Medisec</t>
  </si>
  <si>
    <t>Lincolnshire Showground</t>
  </si>
  <si>
    <t>Qatar F1 Lusail Circuit</t>
  </si>
  <si>
    <t>Lincoln Scouts - Poacher Jamboree</t>
  </si>
  <si>
    <t>Walsall FC</t>
  </si>
  <si>
    <t>Professional Security</t>
  </si>
  <si>
    <t>London School of Economics (LSE)</t>
  </si>
  <si>
    <t>OML Belfast Ltd</t>
  </si>
  <si>
    <t>ResponSec</t>
  </si>
  <si>
    <t>SES Bristol</t>
  </si>
  <si>
    <t>Liverpool One</t>
  </si>
  <si>
    <t>We Are Massive (Ltd)</t>
  </si>
  <si>
    <t>Paddington Railway Station</t>
  </si>
  <si>
    <t>Leeds Station</t>
  </si>
  <si>
    <t>London Liverpool Street Station</t>
  </si>
  <si>
    <t>Liverpool Lime Street Station</t>
  </si>
  <si>
    <t>King's Cross Station</t>
  </si>
  <si>
    <t>Irish Football Association</t>
  </si>
  <si>
    <t>Emirates Old Trafford, Lancashire Cricket Club</t>
  </si>
  <si>
    <t>Birmingham New Street Station</t>
  </si>
  <si>
    <t>Manchester Piccadilly Station</t>
  </si>
  <si>
    <t>Alliance Management Group</t>
  </si>
  <si>
    <t xml:space="preserve">SecurEvent Solutions </t>
  </si>
  <si>
    <t>Penny Lane Entertainment (Cowboys Music Festival 2025)</t>
  </si>
  <si>
    <t>Reading Marathon 23rd March 2025</t>
  </si>
  <si>
    <t>Ethara - Yas Marina Circuit, Etihad Arena, Etihad Park</t>
  </si>
  <si>
    <t>Sword Security IRE</t>
  </si>
  <si>
    <t>Sword Security UK</t>
  </si>
  <si>
    <t>NW Live</t>
  </si>
  <si>
    <t>New Citizens/Hideout Festival</t>
  </si>
  <si>
    <t>Bournemouth 7s</t>
  </si>
  <si>
    <t>Trikala/Mill of the Elves</t>
  </si>
  <si>
    <t xml:space="preserve">Birmingham City University </t>
  </si>
  <si>
    <t xml:space="preserve">Euston Station </t>
  </si>
  <si>
    <t>Coventry Building Society Arena</t>
  </si>
  <si>
    <t>Luton Borough Council</t>
  </si>
  <si>
    <t>Bedford Borough Council - River Festival (July 26) and Kite &amp; Motor 2027</t>
  </si>
  <si>
    <t>Chelsea FC (Match Day)</t>
  </si>
  <si>
    <t>Malta Police</t>
  </si>
  <si>
    <t>Notting Hill Carnival</t>
  </si>
  <si>
    <t>RHS</t>
  </si>
  <si>
    <t>London Marathon Events</t>
  </si>
  <si>
    <t>Nottingham Marathon Sunday 28th September 2025</t>
  </si>
  <si>
    <t>National Ice Centre &amp; Motorpoint Arena Nottingham</t>
  </si>
  <si>
    <t>Edgbaston</t>
  </si>
  <si>
    <t>The NEC Group - OCS</t>
  </si>
  <si>
    <t>Watford FC</t>
  </si>
  <si>
    <t>Silverstone Circuit</t>
  </si>
  <si>
    <t>Harlequins</t>
  </si>
  <si>
    <t>Mansfield Town FC</t>
  </si>
  <si>
    <t>Royal Navy Ski Champs</t>
  </si>
  <si>
    <t>Stadium TM</t>
  </si>
  <si>
    <t xml:space="preserve">LEX Liverpool </t>
  </si>
  <si>
    <t>Farnborough Air Show July 2026</t>
  </si>
  <si>
    <t xml:space="preserve">Leicester Tigers </t>
  </si>
  <si>
    <t>Chelsea FC - OCS</t>
  </si>
  <si>
    <t>Alexandra Palace</t>
  </si>
  <si>
    <t xml:space="preserve">The Event &amp; Exhibition Partnership </t>
  </si>
  <si>
    <t>Singapore Grand Prix</t>
  </si>
  <si>
    <t>Norwich City Football Club</t>
  </si>
  <si>
    <t>Gloucester Rugby Club</t>
  </si>
  <si>
    <t>Lincoln City Football Club</t>
  </si>
  <si>
    <t>Birmingham City Football Club</t>
  </si>
  <si>
    <t>Sheffield United Football Club</t>
  </si>
  <si>
    <t>Everton Football Club</t>
  </si>
  <si>
    <t>Leicester Racecourse</t>
  </si>
  <si>
    <t>Burnley Football Club</t>
  </si>
  <si>
    <t>Nottingham Forest FC</t>
  </si>
  <si>
    <t>London International Exhibition Centre (Excel London)</t>
  </si>
  <si>
    <t>Lawn Tennis Association - LTA Queen's Champs</t>
  </si>
  <si>
    <t>Stevenage Football Club</t>
  </si>
  <si>
    <t>Venture Security - Newbury Racecourse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</si>
</sst>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CE5CD"/>
        <bgColor rgb="FFFCE5CD"/>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2" numFmtId="0" xfId="0" applyAlignment="1" applyFont="1">
      <alignment horizontal="left"/>
    </xf>
    <xf borderId="0" fillId="0" fontId="2" numFmtId="0" xfId="0" applyAlignment="1" applyFont="1">
      <alignment readingOrder="0" shrinkToFit="0" wrapText="1"/>
    </xf>
    <xf borderId="0" fillId="0" fontId="2" numFmtId="0" xfId="0" applyAlignment="1" applyFont="1">
      <alignment horizontal="left" readingOrder="0"/>
    </xf>
    <xf borderId="0" fillId="0" fontId="2" numFmtId="0" xfId="0" applyFont="1"/>
    <xf borderId="0" fillId="2" fontId="2" numFmtId="0" xfId="0" applyAlignment="1" applyFill="1" applyFont="1">
      <alignment horizontal="left"/>
    </xf>
    <xf borderId="0" fillId="3" fontId="2" numFmtId="0" xfId="0" applyAlignment="1" applyFill="1" applyFont="1">
      <alignment horizontal="left"/>
    </xf>
    <xf borderId="0" fillId="4" fontId="2" numFmtId="0" xfId="0" applyAlignment="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52.38"/>
    <col customWidth="1" min="3" max="3" width="34.0"/>
    <col customWidth="1" min="4" max="4" width="36.5"/>
    <col customWidth="1" min="6" max="6" width="13.5"/>
    <col customWidth="1" min="7" max="7" width="23.0"/>
    <col customWidth="1" min="9" max="9" width="21.63"/>
  </cols>
  <sheetData>
    <row r="1">
      <c r="A1" s="1" t="s">
        <v>0</v>
      </c>
      <c r="B1" s="1" t="s">
        <v>1</v>
      </c>
      <c r="C1" s="1" t="s">
        <v>2</v>
      </c>
      <c r="D1" s="1" t="s">
        <v>3</v>
      </c>
      <c r="E1" s="1" t="s">
        <v>4</v>
      </c>
      <c r="F1" s="2" t="s">
        <v>5</v>
      </c>
      <c r="G1" s="2" t="s">
        <v>7</v>
      </c>
      <c r="H1" s="4"/>
      <c r="I1" s="5"/>
      <c r="J1" s="4"/>
      <c r="K1" s="4"/>
      <c r="L1" s="4"/>
      <c r="M1" s="4"/>
      <c r="N1" s="4"/>
      <c r="O1" s="4"/>
      <c r="P1" s="4"/>
      <c r="Q1" s="4"/>
      <c r="R1" s="4"/>
      <c r="S1" s="4"/>
      <c r="T1" s="4"/>
      <c r="U1" s="4"/>
      <c r="V1" s="4"/>
      <c r="W1" s="4"/>
      <c r="X1" s="4"/>
      <c r="Y1" s="4"/>
      <c r="Z1" s="4"/>
    </row>
    <row r="2">
      <c r="A2" s="7">
        <v>5.09935450346E11</v>
      </c>
      <c r="B2" s="7" t="s">
        <v>11</v>
      </c>
      <c r="C2" s="7">
        <v>7338.0</v>
      </c>
      <c r="D2" s="7">
        <v>5940.0</v>
      </c>
      <c r="E2" s="5">
        <f t="shared" ref="E2:E106" si="1">C2-D2</f>
        <v>1398</v>
      </c>
      <c r="F2" s="8" t="str">
        <f t="shared" ref="F2:F106" si="2">IF(C2=D2,"Match","Mismatch")</f>
        <v>Mismatch</v>
      </c>
      <c r="G2" s="8" t="str">
        <f t="shared" ref="G2:G106" si="3">IF(C2=D2,"Match",IF(AND(C2=0,D2&gt;0),"Zero hs_arr",IF(AND(D2=0,C2&gt;0),"Zero custom ARR","Genuine conflict")))</f>
        <v>Genuine conflict</v>
      </c>
      <c r="I2" s="1" t="s">
        <v>16</v>
      </c>
    </row>
    <row r="3">
      <c r="A3" s="7">
        <v>4.99541589237E11</v>
      </c>
      <c r="B3" s="7" t="s">
        <v>17</v>
      </c>
      <c r="C3" s="7">
        <v>0.0</v>
      </c>
      <c r="D3" s="7">
        <v>810.0</v>
      </c>
      <c r="E3" s="5">
        <f t="shared" si="1"/>
        <v>-810</v>
      </c>
      <c r="F3" s="8" t="str">
        <f t="shared" si="2"/>
        <v>Mismatch</v>
      </c>
      <c r="G3" s="8" t="str">
        <f t="shared" si="3"/>
        <v>Zero hs_arr</v>
      </c>
      <c r="I3" s="9">
        <f>COUNTIF(F2:F106,"Mismatch")</f>
        <v>65</v>
      </c>
    </row>
    <row r="4">
      <c r="A4" s="7">
        <v>4.98345761988E11</v>
      </c>
      <c r="B4" s="7" t="s">
        <v>18</v>
      </c>
      <c r="C4" s="7">
        <v>5400.0</v>
      </c>
      <c r="D4" s="7">
        <v>6480.0</v>
      </c>
      <c r="E4" s="5">
        <f t="shared" si="1"/>
        <v>-1080</v>
      </c>
      <c r="F4" s="8" t="str">
        <f t="shared" si="2"/>
        <v>Mismatch</v>
      </c>
      <c r="G4" s="8" t="str">
        <f t="shared" si="3"/>
        <v>Genuine conflict</v>
      </c>
      <c r="I4" s="1" t="s">
        <v>19</v>
      </c>
    </row>
    <row r="5">
      <c r="A5" s="7">
        <v>4.98285416664E11</v>
      </c>
      <c r="B5" s="7" t="s">
        <v>20</v>
      </c>
      <c r="C5" s="7">
        <v>0.0</v>
      </c>
      <c r="D5" s="7">
        <v>1100.0</v>
      </c>
      <c r="E5" s="5">
        <f t="shared" si="1"/>
        <v>-1100</v>
      </c>
      <c r="F5" s="8" t="str">
        <f t="shared" si="2"/>
        <v>Mismatch</v>
      </c>
      <c r="G5" s="8" t="str">
        <f t="shared" si="3"/>
        <v>Zero hs_arr</v>
      </c>
      <c r="I5" s="9">
        <f>COUNTIF(F2:F106,"Match")</f>
        <v>40</v>
      </c>
    </row>
    <row r="6">
      <c r="A6" s="7">
        <v>4.98236916928E11</v>
      </c>
      <c r="B6" s="7" t="s">
        <v>21</v>
      </c>
      <c r="C6" s="7">
        <v>10490.0</v>
      </c>
      <c r="D6" s="7">
        <v>11390.4</v>
      </c>
      <c r="E6" s="5">
        <f t="shared" si="1"/>
        <v>-900.4</v>
      </c>
      <c r="F6" s="8" t="str">
        <f t="shared" si="2"/>
        <v>Mismatch</v>
      </c>
      <c r="G6" s="8" t="str">
        <f t="shared" si="3"/>
        <v>Genuine conflict</v>
      </c>
      <c r="I6" s="5"/>
    </row>
    <row r="7">
      <c r="A7" s="7">
        <v>4.94580925644E11</v>
      </c>
      <c r="B7" s="7" t="s">
        <v>22</v>
      </c>
      <c r="C7" s="7">
        <v>6630.0</v>
      </c>
      <c r="D7" s="7">
        <v>6210.0</v>
      </c>
      <c r="E7" s="5">
        <f t="shared" si="1"/>
        <v>420</v>
      </c>
      <c r="F7" s="8" t="str">
        <f t="shared" si="2"/>
        <v>Mismatch</v>
      </c>
      <c r="G7" s="8" t="str">
        <f t="shared" si="3"/>
        <v>Genuine conflict</v>
      </c>
      <c r="I7" s="1" t="s">
        <v>9</v>
      </c>
    </row>
    <row r="8">
      <c r="A8" s="7">
        <v>4.93976734922E11</v>
      </c>
      <c r="B8" s="7" t="s">
        <v>23</v>
      </c>
      <c r="C8" s="7">
        <v>0.0</v>
      </c>
      <c r="D8" s="7">
        <v>3156.0</v>
      </c>
      <c r="E8" s="5">
        <f t="shared" si="1"/>
        <v>-3156</v>
      </c>
      <c r="F8" s="8" t="str">
        <f t="shared" si="2"/>
        <v>Mismatch</v>
      </c>
      <c r="G8" s="8" t="str">
        <f t="shared" si="3"/>
        <v>Zero hs_arr</v>
      </c>
      <c r="I8" s="10">
        <f>COUNTIF(G2:G106,"Zero hs_arr")</f>
        <v>16</v>
      </c>
    </row>
    <row r="9">
      <c r="A9" s="7">
        <v>4.77819232455E11</v>
      </c>
      <c r="B9" s="7" t="s">
        <v>24</v>
      </c>
      <c r="C9" s="7">
        <v>50400.0</v>
      </c>
      <c r="D9" s="7">
        <v>50400.0</v>
      </c>
      <c r="E9" s="5">
        <f t="shared" si="1"/>
        <v>0</v>
      </c>
      <c r="F9" s="8" t="str">
        <f t="shared" si="2"/>
        <v>Match</v>
      </c>
      <c r="G9" s="8" t="str">
        <f t="shared" si="3"/>
        <v>Match</v>
      </c>
      <c r="I9" s="2" t="s">
        <v>12</v>
      </c>
    </row>
    <row r="10">
      <c r="A10" s="7">
        <v>4.73593929964E11</v>
      </c>
      <c r="B10" s="7" t="s">
        <v>25</v>
      </c>
      <c r="C10" s="7">
        <v>7128.0</v>
      </c>
      <c r="D10" s="7">
        <v>7128.0</v>
      </c>
      <c r="E10" s="5">
        <f t="shared" si="1"/>
        <v>0</v>
      </c>
      <c r="F10" s="8" t="str">
        <f t="shared" si="2"/>
        <v>Match</v>
      </c>
      <c r="G10" s="8" t="str">
        <f t="shared" si="3"/>
        <v>Match</v>
      </c>
      <c r="I10" s="11">
        <f>COUNTIF(G2:G106,"Zero custom ARR")</f>
        <v>0</v>
      </c>
    </row>
    <row r="11">
      <c r="A11" s="7">
        <v>4.73599434951E11</v>
      </c>
      <c r="B11" s="7" t="s">
        <v>26</v>
      </c>
      <c r="C11" s="7">
        <v>3235.2</v>
      </c>
      <c r="D11" s="7">
        <v>3235.2</v>
      </c>
      <c r="E11" s="5">
        <f t="shared" si="1"/>
        <v>0</v>
      </c>
      <c r="F11" s="8" t="str">
        <f t="shared" si="2"/>
        <v>Match</v>
      </c>
      <c r="G11" s="8" t="str">
        <f t="shared" si="3"/>
        <v>Match</v>
      </c>
      <c r="I11" s="1" t="s">
        <v>14</v>
      </c>
    </row>
    <row r="12">
      <c r="A12" s="7">
        <v>4.72601066745E11</v>
      </c>
      <c r="B12" s="7" t="s">
        <v>27</v>
      </c>
      <c r="C12" s="7">
        <v>0.0</v>
      </c>
      <c r="D12" s="7">
        <v>600.0</v>
      </c>
      <c r="E12" s="5">
        <f t="shared" si="1"/>
        <v>-600</v>
      </c>
      <c r="F12" s="8" t="str">
        <f t="shared" si="2"/>
        <v>Mismatch</v>
      </c>
      <c r="G12" s="8" t="str">
        <f t="shared" si="3"/>
        <v>Zero hs_arr</v>
      </c>
      <c r="I12" s="11">
        <f>COUNTIF(G2:G106,"Genuine conflict")</f>
        <v>49</v>
      </c>
    </row>
    <row r="13">
      <c r="A13" s="7">
        <v>4.72602496201E11</v>
      </c>
      <c r="B13" s="7" t="s">
        <v>28</v>
      </c>
      <c r="C13" s="7">
        <v>740.0</v>
      </c>
      <c r="D13" s="7">
        <v>1150.0</v>
      </c>
      <c r="E13" s="5">
        <f t="shared" si="1"/>
        <v>-410</v>
      </c>
      <c r="F13" s="8" t="str">
        <f t="shared" si="2"/>
        <v>Mismatch</v>
      </c>
      <c r="G13" s="8" t="str">
        <f t="shared" si="3"/>
        <v>Genuine conflict</v>
      </c>
      <c r="I13" s="5"/>
    </row>
    <row r="14">
      <c r="A14" s="7">
        <v>4.72769193148E11</v>
      </c>
      <c r="B14" s="7" t="s">
        <v>29</v>
      </c>
      <c r="C14" s="7">
        <v>0.0</v>
      </c>
      <c r="D14" s="7">
        <v>594.0</v>
      </c>
      <c r="E14" s="5">
        <f t="shared" si="1"/>
        <v>-594</v>
      </c>
      <c r="F14" s="8" t="str">
        <f t="shared" si="2"/>
        <v>Mismatch</v>
      </c>
      <c r="G14" s="8" t="str">
        <f t="shared" si="3"/>
        <v>Zero hs_arr</v>
      </c>
      <c r="I14" s="5"/>
    </row>
    <row r="15">
      <c r="A15" s="7">
        <v>4.72601066729E11</v>
      </c>
      <c r="B15" s="7" t="s">
        <v>30</v>
      </c>
      <c r="C15" s="7">
        <v>72000.0</v>
      </c>
      <c r="D15" s="7">
        <v>72000.0</v>
      </c>
      <c r="E15" s="5">
        <f t="shared" si="1"/>
        <v>0</v>
      </c>
      <c r="F15" s="8" t="str">
        <f t="shared" si="2"/>
        <v>Match</v>
      </c>
      <c r="G15" s="8" t="str">
        <f t="shared" si="3"/>
        <v>Match</v>
      </c>
      <c r="I15" s="5"/>
    </row>
    <row r="16">
      <c r="A16" s="7">
        <v>4.72602495216E11</v>
      </c>
      <c r="B16" s="7" t="s">
        <v>31</v>
      </c>
      <c r="C16" s="7">
        <v>3121.2</v>
      </c>
      <c r="D16" s="7">
        <v>2701.2</v>
      </c>
      <c r="E16" s="5">
        <f t="shared" si="1"/>
        <v>420</v>
      </c>
      <c r="F16" s="8" t="str">
        <f t="shared" si="2"/>
        <v>Mismatch</v>
      </c>
      <c r="G16" s="8" t="str">
        <f t="shared" si="3"/>
        <v>Genuine conflict</v>
      </c>
      <c r="I16" s="5"/>
    </row>
    <row r="17">
      <c r="A17" s="7">
        <v>4.72601066713E11</v>
      </c>
      <c r="B17" s="7" t="s">
        <v>32</v>
      </c>
      <c r="C17" s="7">
        <v>4752.0</v>
      </c>
      <c r="D17" s="7">
        <v>4752.0</v>
      </c>
      <c r="E17" s="5">
        <f t="shared" si="1"/>
        <v>0</v>
      </c>
      <c r="F17" s="8" t="str">
        <f t="shared" si="2"/>
        <v>Match</v>
      </c>
      <c r="G17" s="8" t="str">
        <f t="shared" si="3"/>
        <v>Match</v>
      </c>
      <c r="I17" s="5"/>
    </row>
    <row r="18">
      <c r="A18" s="7">
        <v>4.72602495182E11</v>
      </c>
      <c r="B18" s="7" t="s">
        <v>33</v>
      </c>
      <c r="C18" s="7">
        <v>4320.0</v>
      </c>
      <c r="D18" s="7">
        <v>4320.0</v>
      </c>
      <c r="E18" s="5">
        <f t="shared" si="1"/>
        <v>0</v>
      </c>
      <c r="F18" s="8" t="str">
        <f t="shared" si="2"/>
        <v>Match</v>
      </c>
      <c r="G18" s="8" t="str">
        <f t="shared" si="3"/>
        <v>Match</v>
      </c>
      <c r="I18" s="5"/>
    </row>
    <row r="19">
      <c r="A19" s="7">
        <v>4.72601778398E11</v>
      </c>
      <c r="B19" s="7" t="s">
        <v>34</v>
      </c>
      <c r="C19" s="7">
        <v>10500.0</v>
      </c>
      <c r="D19" s="7">
        <v>10440.0</v>
      </c>
      <c r="E19" s="5">
        <f t="shared" si="1"/>
        <v>60</v>
      </c>
      <c r="F19" s="8" t="str">
        <f t="shared" si="2"/>
        <v>Mismatch</v>
      </c>
      <c r="G19" s="8" t="str">
        <f t="shared" si="3"/>
        <v>Genuine conflict</v>
      </c>
      <c r="I19" s="5"/>
    </row>
    <row r="20">
      <c r="A20" s="7">
        <v>4.05654846705E11</v>
      </c>
      <c r="B20" s="7" t="s">
        <v>35</v>
      </c>
      <c r="C20" s="7">
        <v>0.0</v>
      </c>
      <c r="D20" s="7">
        <v>594.0</v>
      </c>
      <c r="E20" s="5">
        <f t="shared" si="1"/>
        <v>-594</v>
      </c>
      <c r="F20" s="8" t="str">
        <f t="shared" si="2"/>
        <v>Mismatch</v>
      </c>
      <c r="G20" s="8" t="str">
        <f t="shared" si="3"/>
        <v>Zero hs_arr</v>
      </c>
      <c r="I20" s="5"/>
    </row>
    <row r="21">
      <c r="A21" s="7">
        <v>3.58953461953E11</v>
      </c>
      <c r="B21" s="7" t="s">
        <v>36</v>
      </c>
      <c r="C21" s="7">
        <v>35000.0</v>
      </c>
      <c r="D21" s="7">
        <v>28000.0</v>
      </c>
      <c r="E21" s="5">
        <f t="shared" si="1"/>
        <v>7000</v>
      </c>
      <c r="F21" s="8" t="str">
        <f t="shared" si="2"/>
        <v>Mismatch</v>
      </c>
      <c r="G21" s="8" t="str">
        <f t="shared" si="3"/>
        <v>Genuine conflict</v>
      </c>
      <c r="I21" s="5"/>
    </row>
    <row r="22">
      <c r="A22" s="7">
        <v>3.38097359061E11</v>
      </c>
      <c r="B22" s="7" t="s">
        <v>37</v>
      </c>
      <c r="C22" s="7">
        <v>3000.0</v>
      </c>
      <c r="D22" s="7">
        <v>3600.0</v>
      </c>
      <c r="E22" s="5">
        <f t="shared" si="1"/>
        <v>-600</v>
      </c>
      <c r="F22" s="8" t="str">
        <f t="shared" si="2"/>
        <v>Mismatch</v>
      </c>
      <c r="G22" s="8" t="str">
        <f t="shared" si="3"/>
        <v>Genuine conflict</v>
      </c>
      <c r="I22" s="5"/>
    </row>
    <row r="23">
      <c r="A23" s="7">
        <v>3.22240973028E11</v>
      </c>
      <c r="B23" s="7" t="s">
        <v>38</v>
      </c>
      <c r="C23" s="7">
        <v>1990.0</v>
      </c>
      <c r="D23" s="7">
        <v>594.0</v>
      </c>
      <c r="E23" s="5">
        <f t="shared" si="1"/>
        <v>1396</v>
      </c>
      <c r="F23" s="8" t="str">
        <f t="shared" si="2"/>
        <v>Mismatch</v>
      </c>
      <c r="G23" s="8" t="str">
        <f t="shared" si="3"/>
        <v>Genuine conflict</v>
      </c>
      <c r="I23" s="5"/>
    </row>
    <row r="24">
      <c r="A24" s="7">
        <v>2.87026064583E11</v>
      </c>
      <c r="B24" s="7" t="s">
        <v>39</v>
      </c>
      <c r="C24" s="7">
        <v>2940.0</v>
      </c>
      <c r="D24" s="7">
        <v>3528.0</v>
      </c>
      <c r="E24" s="5">
        <f t="shared" si="1"/>
        <v>-588</v>
      </c>
      <c r="F24" s="8" t="str">
        <f t="shared" si="2"/>
        <v>Mismatch</v>
      </c>
      <c r="G24" s="8" t="str">
        <f t="shared" si="3"/>
        <v>Genuine conflict</v>
      </c>
      <c r="I24" s="5"/>
    </row>
    <row r="25">
      <c r="A25" s="7">
        <v>2.75626648784E11</v>
      </c>
      <c r="B25" s="7" t="s">
        <v>40</v>
      </c>
      <c r="C25" s="7">
        <v>14220.0</v>
      </c>
      <c r="D25" s="7">
        <v>14200.0</v>
      </c>
      <c r="E25" s="5">
        <f t="shared" si="1"/>
        <v>20</v>
      </c>
      <c r="F25" s="8" t="str">
        <f t="shared" si="2"/>
        <v>Mismatch</v>
      </c>
      <c r="G25" s="8" t="str">
        <f t="shared" si="3"/>
        <v>Genuine conflict</v>
      </c>
      <c r="I25" s="5"/>
    </row>
    <row r="26">
      <c r="A26" s="7">
        <v>2.71415682279E11</v>
      </c>
      <c r="B26" s="7" t="s">
        <v>41</v>
      </c>
      <c r="C26" s="7">
        <v>0.0</v>
      </c>
      <c r="D26" s="7">
        <v>880.0</v>
      </c>
      <c r="E26" s="5">
        <f t="shared" si="1"/>
        <v>-880</v>
      </c>
      <c r="F26" s="8" t="str">
        <f t="shared" si="2"/>
        <v>Mismatch</v>
      </c>
      <c r="G26" s="8" t="str">
        <f t="shared" si="3"/>
        <v>Zero hs_arr</v>
      </c>
      <c r="I26" s="5"/>
    </row>
    <row r="27">
      <c r="A27" s="7">
        <v>2.2428624711E11</v>
      </c>
      <c r="B27" s="7" t="s">
        <v>42</v>
      </c>
      <c r="C27" s="7">
        <v>5400.0</v>
      </c>
      <c r="D27" s="7">
        <v>5400.0</v>
      </c>
      <c r="E27" s="5">
        <f t="shared" si="1"/>
        <v>0</v>
      </c>
      <c r="F27" s="8" t="str">
        <f t="shared" si="2"/>
        <v>Match</v>
      </c>
      <c r="G27" s="8" t="str">
        <f t="shared" si="3"/>
        <v>Match</v>
      </c>
      <c r="I27" s="5"/>
    </row>
    <row r="28">
      <c r="A28" s="7">
        <v>2.19092059364E11</v>
      </c>
      <c r="B28" s="7" t="s">
        <v>43</v>
      </c>
      <c r="C28" s="7">
        <v>0.0</v>
      </c>
      <c r="D28" s="7">
        <v>450.0</v>
      </c>
      <c r="E28" s="5">
        <f t="shared" si="1"/>
        <v>-450</v>
      </c>
      <c r="F28" s="8" t="str">
        <f t="shared" si="2"/>
        <v>Mismatch</v>
      </c>
      <c r="G28" s="8" t="str">
        <f t="shared" si="3"/>
        <v>Zero hs_arr</v>
      </c>
      <c r="I28" s="5"/>
    </row>
    <row r="29">
      <c r="A29" s="7">
        <v>2.18356455651E11</v>
      </c>
      <c r="B29" s="7" t="s">
        <v>44</v>
      </c>
      <c r="C29" s="7">
        <v>5100.0</v>
      </c>
      <c r="D29" s="7">
        <v>5100.0</v>
      </c>
      <c r="E29" s="5">
        <f t="shared" si="1"/>
        <v>0</v>
      </c>
      <c r="F29" s="8" t="str">
        <f t="shared" si="2"/>
        <v>Match</v>
      </c>
      <c r="G29" s="8" t="str">
        <f t="shared" si="3"/>
        <v>Match</v>
      </c>
      <c r="I29" s="5"/>
    </row>
    <row r="30">
      <c r="A30" s="7">
        <v>2.1632724197E11</v>
      </c>
      <c r="B30" s="7" t="s">
        <v>45</v>
      </c>
      <c r="C30" s="7">
        <v>825.75</v>
      </c>
      <c r="D30" s="7">
        <v>1782.0</v>
      </c>
      <c r="E30" s="5">
        <f t="shared" si="1"/>
        <v>-956.25</v>
      </c>
      <c r="F30" s="8" t="str">
        <f t="shared" si="2"/>
        <v>Mismatch</v>
      </c>
      <c r="G30" s="8" t="str">
        <f t="shared" si="3"/>
        <v>Genuine conflict</v>
      </c>
      <c r="I30" s="5"/>
    </row>
    <row r="31">
      <c r="A31" s="7">
        <v>2.00550742225E11</v>
      </c>
      <c r="B31" s="7" t="s">
        <v>46</v>
      </c>
      <c r="C31" s="7">
        <v>4980.0</v>
      </c>
      <c r="D31" s="7">
        <v>2100.0</v>
      </c>
      <c r="E31" s="5">
        <f t="shared" si="1"/>
        <v>2880</v>
      </c>
      <c r="F31" s="8" t="str">
        <f t="shared" si="2"/>
        <v>Mismatch</v>
      </c>
      <c r="G31" s="8" t="str">
        <f t="shared" si="3"/>
        <v>Genuine conflict</v>
      </c>
      <c r="I31" s="5"/>
    </row>
    <row r="32">
      <c r="A32" s="7">
        <v>1.41989732575E11</v>
      </c>
      <c r="B32" s="7" t="s">
        <v>47</v>
      </c>
      <c r="C32" s="7">
        <v>495.0</v>
      </c>
      <c r="D32" s="7">
        <v>872.0</v>
      </c>
      <c r="E32" s="5">
        <f t="shared" si="1"/>
        <v>-377</v>
      </c>
      <c r="F32" s="8" t="str">
        <f t="shared" si="2"/>
        <v>Mismatch</v>
      </c>
      <c r="G32" s="8" t="str">
        <f t="shared" si="3"/>
        <v>Genuine conflict</v>
      </c>
      <c r="I32" s="5"/>
    </row>
    <row r="33">
      <c r="A33" s="7">
        <v>1.33489012974E11</v>
      </c>
      <c r="B33" s="7" t="s">
        <v>48</v>
      </c>
      <c r="C33" s="7">
        <v>0.0</v>
      </c>
      <c r="D33" s="7">
        <v>954.0</v>
      </c>
      <c r="E33" s="5">
        <f t="shared" si="1"/>
        <v>-954</v>
      </c>
      <c r="F33" s="8" t="str">
        <f t="shared" si="2"/>
        <v>Mismatch</v>
      </c>
      <c r="G33" s="8" t="str">
        <f t="shared" si="3"/>
        <v>Zero hs_arr</v>
      </c>
      <c r="I33" s="5"/>
    </row>
    <row r="34">
      <c r="A34" s="7">
        <v>1.03817977061E11</v>
      </c>
      <c r="B34" s="7" t="s">
        <v>49</v>
      </c>
      <c r="C34" s="7">
        <v>16000.0</v>
      </c>
      <c r="D34" s="7">
        <v>11800.0</v>
      </c>
      <c r="E34" s="5">
        <f t="shared" si="1"/>
        <v>4200</v>
      </c>
      <c r="F34" s="8" t="str">
        <f t="shared" si="2"/>
        <v>Mismatch</v>
      </c>
      <c r="G34" s="8" t="str">
        <f t="shared" si="3"/>
        <v>Genuine conflict</v>
      </c>
      <c r="I34" s="5"/>
    </row>
    <row r="35">
      <c r="A35" s="7">
        <v>7.2239359225E10</v>
      </c>
      <c r="B35" s="7" t="s">
        <v>50</v>
      </c>
      <c r="C35" s="7">
        <v>1770.0</v>
      </c>
      <c r="D35" s="7">
        <v>342.0</v>
      </c>
      <c r="E35" s="5">
        <f t="shared" si="1"/>
        <v>1428</v>
      </c>
      <c r="F35" s="8" t="str">
        <f t="shared" si="2"/>
        <v>Mismatch</v>
      </c>
      <c r="G35" s="8" t="str">
        <f t="shared" si="3"/>
        <v>Genuine conflict</v>
      </c>
      <c r="I35" s="5"/>
    </row>
    <row r="36">
      <c r="A36" s="7">
        <v>5.4344560886E10</v>
      </c>
      <c r="B36" s="7" t="s">
        <v>51</v>
      </c>
      <c r="C36" s="7">
        <v>0.0</v>
      </c>
      <c r="D36" s="7">
        <v>4620.0</v>
      </c>
      <c r="E36" s="5">
        <f t="shared" si="1"/>
        <v>-4620</v>
      </c>
      <c r="F36" s="8" t="str">
        <f t="shared" si="2"/>
        <v>Mismatch</v>
      </c>
      <c r="G36" s="8" t="str">
        <f t="shared" si="3"/>
        <v>Zero hs_arr</v>
      </c>
      <c r="I36" s="5"/>
    </row>
    <row r="37">
      <c r="A37" s="7">
        <v>2.3060005065E10</v>
      </c>
      <c r="B37" s="7" t="s">
        <v>52</v>
      </c>
      <c r="C37" s="7">
        <v>16000.0</v>
      </c>
      <c r="D37" s="7">
        <v>11800.0</v>
      </c>
      <c r="E37" s="5">
        <f t="shared" si="1"/>
        <v>4200</v>
      </c>
      <c r="F37" s="8" t="str">
        <f t="shared" si="2"/>
        <v>Mismatch</v>
      </c>
      <c r="G37" s="8" t="str">
        <f t="shared" si="3"/>
        <v>Genuine conflict</v>
      </c>
      <c r="I37" s="5"/>
    </row>
    <row r="38">
      <c r="A38" s="7">
        <v>1.4900468452E10</v>
      </c>
      <c r="B38" s="7" t="s">
        <v>53</v>
      </c>
      <c r="C38" s="7">
        <v>1020.0</v>
      </c>
      <c r="D38" s="7">
        <v>1224.0</v>
      </c>
      <c r="E38" s="5">
        <f t="shared" si="1"/>
        <v>-204</v>
      </c>
      <c r="F38" s="8" t="str">
        <f t="shared" si="2"/>
        <v>Mismatch</v>
      </c>
      <c r="G38" s="8" t="str">
        <f t="shared" si="3"/>
        <v>Genuine conflict</v>
      </c>
      <c r="I38" s="5"/>
    </row>
    <row r="39">
      <c r="A39" s="7">
        <v>1.4201770448E10</v>
      </c>
      <c r="B39" s="7" t="s">
        <v>54</v>
      </c>
      <c r="C39" s="7">
        <v>5102.0</v>
      </c>
      <c r="D39" s="7">
        <v>5112.0</v>
      </c>
      <c r="E39" s="5">
        <f t="shared" si="1"/>
        <v>-10</v>
      </c>
      <c r="F39" s="8" t="str">
        <f t="shared" si="2"/>
        <v>Mismatch</v>
      </c>
      <c r="G39" s="8" t="str">
        <f t="shared" si="3"/>
        <v>Genuine conflict</v>
      </c>
      <c r="I39" s="5"/>
    </row>
    <row r="40">
      <c r="A40" s="7">
        <v>1.3949353949E10</v>
      </c>
      <c r="B40" s="7" t="s">
        <v>55</v>
      </c>
      <c r="C40" s="7">
        <v>12888.0</v>
      </c>
      <c r="D40" s="7">
        <v>12888.0</v>
      </c>
      <c r="E40" s="5">
        <f t="shared" si="1"/>
        <v>0</v>
      </c>
      <c r="F40" s="8" t="str">
        <f t="shared" si="2"/>
        <v>Match</v>
      </c>
      <c r="G40" s="8" t="str">
        <f t="shared" si="3"/>
        <v>Match</v>
      </c>
      <c r="I40" s="5"/>
    </row>
    <row r="41">
      <c r="A41" s="7">
        <v>1.2507787747E10</v>
      </c>
      <c r="B41" s="7" t="s">
        <v>56</v>
      </c>
      <c r="C41" s="7">
        <v>9880.0</v>
      </c>
      <c r="D41" s="7">
        <v>11856.0</v>
      </c>
      <c r="E41" s="5">
        <f t="shared" si="1"/>
        <v>-1976</v>
      </c>
      <c r="F41" s="8" t="str">
        <f t="shared" si="2"/>
        <v>Mismatch</v>
      </c>
      <c r="G41" s="8" t="str">
        <f t="shared" si="3"/>
        <v>Genuine conflict</v>
      </c>
      <c r="I41" s="5"/>
    </row>
    <row r="42">
      <c r="A42" s="7">
        <v>1.233882336E10</v>
      </c>
      <c r="B42" s="7" t="s">
        <v>57</v>
      </c>
      <c r="C42" s="7">
        <v>9540.0</v>
      </c>
      <c r="D42" s="7">
        <v>9540.0</v>
      </c>
      <c r="E42" s="5">
        <f t="shared" si="1"/>
        <v>0</v>
      </c>
      <c r="F42" s="8" t="str">
        <f t="shared" si="2"/>
        <v>Match</v>
      </c>
      <c r="G42" s="8" t="str">
        <f t="shared" si="3"/>
        <v>Match</v>
      </c>
      <c r="I42" s="5"/>
    </row>
    <row r="43">
      <c r="A43" s="7">
        <v>1.1949271277E10</v>
      </c>
      <c r="B43" s="7" t="s">
        <v>58</v>
      </c>
      <c r="C43" s="7">
        <v>7128.0</v>
      </c>
      <c r="D43" s="7">
        <v>7128.0</v>
      </c>
      <c r="E43" s="5">
        <f t="shared" si="1"/>
        <v>0</v>
      </c>
      <c r="F43" s="8" t="str">
        <f t="shared" si="2"/>
        <v>Match</v>
      </c>
      <c r="G43" s="8" t="str">
        <f t="shared" si="3"/>
        <v>Match</v>
      </c>
      <c r="I43" s="5"/>
    </row>
    <row r="44">
      <c r="A44" s="7">
        <v>1.1193549559E10</v>
      </c>
      <c r="B44" s="7" t="s">
        <v>59</v>
      </c>
      <c r="C44" s="7">
        <v>1062.0</v>
      </c>
      <c r="D44" s="7">
        <v>1368.0</v>
      </c>
      <c r="E44" s="5">
        <f t="shared" si="1"/>
        <v>-306</v>
      </c>
      <c r="F44" s="8" t="str">
        <f t="shared" si="2"/>
        <v>Mismatch</v>
      </c>
      <c r="G44" s="8" t="str">
        <f t="shared" si="3"/>
        <v>Genuine conflict</v>
      </c>
      <c r="I44" s="5"/>
    </row>
    <row r="45">
      <c r="A45" s="7">
        <v>9.96664138E9</v>
      </c>
      <c r="B45" s="7" t="s">
        <v>60</v>
      </c>
      <c r="C45" s="7">
        <v>7950.0</v>
      </c>
      <c r="D45" s="7">
        <v>9540.0</v>
      </c>
      <c r="E45" s="5">
        <f t="shared" si="1"/>
        <v>-1590</v>
      </c>
      <c r="F45" s="8" t="str">
        <f t="shared" si="2"/>
        <v>Mismatch</v>
      </c>
      <c r="G45" s="8" t="str">
        <f t="shared" si="3"/>
        <v>Genuine conflict</v>
      </c>
      <c r="I45" s="5"/>
    </row>
    <row r="46">
      <c r="A46" s="7">
        <v>9.698363888E9</v>
      </c>
      <c r="B46" s="7" t="s">
        <v>61</v>
      </c>
      <c r="C46" s="7">
        <v>3528.0</v>
      </c>
      <c r="D46" s="7">
        <v>3528.0</v>
      </c>
      <c r="E46" s="5">
        <f t="shared" si="1"/>
        <v>0</v>
      </c>
      <c r="F46" s="8" t="str">
        <f t="shared" si="2"/>
        <v>Match</v>
      </c>
      <c r="G46" s="8" t="str">
        <f t="shared" si="3"/>
        <v>Match</v>
      </c>
      <c r="I46" s="5"/>
    </row>
    <row r="47">
      <c r="A47" s="7">
        <v>8.953399524E9</v>
      </c>
      <c r="B47" s="7" t="s">
        <v>62</v>
      </c>
      <c r="C47" s="7">
        <v>4990.0</v>
      </c>
      <c r="D47" s="7">
        <v>29940.0</v>
      </c>
      <c r="E47" s="5">
        <f t="shared" si="1"/>
        <v>-24950</v>
      </c>
      <c r="F47" s="8" t="str">
        <f t="shared" si="2"/>
        <v>Mismatch</v>
      </c>
      <c r="G47" s="8" t="str">
        <f t="shared" si="3"/>
        <v>Genuine conflict</v>
      </c>
      <c r="I47" s="5"/>
    </row>
    <row r="48">
      <c r="A48" s="7">
        <v>8.953269971E9</v>
      </c>
      <c r="B48" s="7" t="s">
        <v>63</v>
      </c>
      <c r="C48" s="7">
        <v>29940.0</v>
      </c>
      <c r="D48" s="7">
        <v>29940.0</v>
      </c>
      <c r="E48" s="5">
        <f t="shared" si="1"/>
        <v>0</v>
      </c>
      <c r="F48" s="8" t="str">
        <f t="shared" si="2"/>
        <v>Match</v>
      </c>
      <c r="G48" s="8" t="str">
        <f t="shared" si="3"/>
        <v>Match</v>
      </c>
      <c r="I48" s="5"/>
    </row>
    <row r="49">
      <c r="A49" s="7">
        <v>8.287055823E9</v>
      </c>
      <c r="B49" s="7" t="s">
        <v>64</v>
      </c>
      <c r="C49" s="7">
        <v>29940.0</v>
      </c>
      <c r="D49" s="7">
        <v>29940.0</v>
      </c>
      <c r="E49" s="5">
        <f t="shared" si="1"/>
        <v>0</v>
      </c>
      <c r="F49" s="8" t="str">
        <f t="shared" si="2"/>
        <v>Match</v>
      </c>
      <c r="G49" s="8" t="str">
        <f t="shared" si="3"/>
        <v>Match</v>
      </c>
      <c r="I49" s="5"/>
    </row>
    <row r="50">
      <c r="A50" s="7">
        <v>7.768852195E9</v>
      </c>
      <c r="B50" s="7" t="s">
        <v>65</v>
      </c>
      <c r="C50" s="7">
        <v>29940.0</v>
      </c>
      <c r="D50" s="7">
        <v>29940.0</v>
      </c>
      <c r="E50" s="5">
        <f t="shared" si="1"/>
        <v>0</v>
      </c>
      <c r="F50" s="8" t="str">
        <f t="shared" si="2"/>
        <v>Match</v>
      </c>
      <c r="G50" s="8" t="str">
        <f t="shared" si="3"/>
        <v>Match</v>
      </c>
      <c r="I50" s="5"/>
    </row>
    <row r="51">
      <c r="A51" s="7">
        <v>7.575866845E9</v>
      </c>
      <c r="B51" s="7" t="s">
        <v>66</v>
      </c>
      <c r="C51" s="7">
        <v>33600.0</v>
      </c>
      <c r="D51" s="7">
        <v>33600.0</v>
      </c>
      <c r="E51" s="5">
        <f t="shared" si="1"/>
        <v>0</v>
      </c>
      <c r="F51" s="8" t="str">
        <f t="shared" si="2"/>
        <v>Match</v>
      </c>
      <c r="G51" s="8" t="str">
        <f t="shared" si="3"/>
        <v>Match</v>
      </c>
      <c r="I51" s="5"/>
    </row>
    <row r="52">
      <c r="A52" s="7">
        <v>7.560366783E9</v>
      </c>
      <c r="B52" s="7" t="s">
        <v>67</v>
      </c>
      <c r="C52" s="7">
        <v>7365.0</v>
      </c>
      <c r="D52" s="7">
        <v>7365.0</v>
      </c>
      <c r="E52" s="5">
        <f t="shared" si="1"/>
        <v>0</v>
      </c>
      <c r="F52" s="8" t="str">
        <f t="shared" si="2"/>
        <v>Match</v>
      </c>
      <c r="G52" s="8" t="str">
        <f t="shared" si="3"/>
        <v>Match</v>
      </c>
      <c r="I52" s="5"/>
    </row>
    <row r="53">
      <c r="A53" s="7">
        <v>7.53226802E9</v>
      </c>
      <c r="B53" s="7" t="s">
        <v>68</v>
      </c>
      <c r="C53" s="7">
        <v>8700.0</v>
      </c>
      <c r="D53" s="7">
        <v>10440.0</v>
      </c>
      <c r="E53" s="5">
        <f t="shared" si="1"/>
        <v>-1740</v>
      </c>
      <c r="F53" s="8" t="str">
        <f t="shared" si="2"/>
        <v>Mismatch</v>
      </c>
      <c r="G53" s="8" t="str">
        <f t="shared" si="3"/>
        <v>Genuine conflict</v>
      </c>
      <c r="I53" s="5"/>
    </row>
    <row r="54">
      <c r="A54" s="7">
        <v>7.343484665E9</v>
      </c>
      <c r="B54" s="7" t="s">
        <v>69</v>
      </c>
      <c r="C54" s="7">
        <v>33540.0</v>
      </c>
      <c r="D54" s="7">
        <v>33540.0</v>
      </c>
      <c r="E54" s="5">
        <f t="shared" si="1"/>
        <v>0</v>
      </c>
      <c r="F54" s="8" t="str">
        <f t="shared" si="2"/>
        <v>Match</v>
      </c>
      <c r="G54" s="8" t="str">
        <f t="shared" si="3"/>
        <v>Match</v>
      </c>
      <c r="I54" s="5"/>
    </row>
    <row r="55">
      <c r="A55" s="7">
        <v>7.140574175E9</v>
      </c>
      <c r="B55" s="7" t="s">
        <v>70</v>
      </c>
      <c r="C55" s="7">
        <v>24950.0</v>
      </c>
      <c r="D55" s="7">
        <v>29940.0</v>
      </c>
      <c r="E55" s="5">
        <f t="shared" si="1"/>
        <v>-4990</v>
      </c>
      <c r="F55" s="8" t="str">
        <f t="shared" si="2"/>
        <v>Mismatch</v>
      </c>
      <c r="G55" s="8" t="str">
        <f t="shared" si="3"/>
        <v>Genuine conflict</v>
      </c>
      <c r="I55" s="5"/>
    </row>
    <row r="56">
      <c r="A56" s="7">
        <v>7.068176582E9</v>
      </c>
      <c r="B56" s="7" t="s">
        <v>71</v>
      </c>
      <c r="C56" s="7">
        <v>0.0</v>
      </c>
      <c r="D56" s="7">
        <v>2442.0</v>
      </c>
      <c r="E56" s="5">
        <f t="shared" si="1"/>
        <v>-2442</v>
      </c>
      <c r="F56" s="8" t="str">
        <f t="shared" si="2"/>
        <v>Mismatch</v>
      </c>
      <c r="G56" s="8" t="str">
        <f t="shared" si="3"/>
        <v>Zero hs_arr</v>
      </c>
      <c r="I56" s="5"/>
    </row>
    <row r="57">
      <c r="A57" s="7">
        <v>6.955116501E9</v>
      </c>
      <c r="B57" s="7" t="s">
        <v>72</v>
      </c>
      <c r="C57" s="7">
        <v>12000.0</v>
      </c>
      <c r="D57" s="7">
        <v>9600.0</v>
      </c>
      <c r="E57" s="5">
        <f t="shared" si="1"/>
        <v>2400</v>
      </c>
      <c r="F57" s="8" t="str">
        <f t="shared" si="2"/>
        <v>Mismatch</v>
      </c>
      <c r="G57" s="8" t="str">
        <f t="shared" si="3"/>
        <v>Genuine conflict</v>
      </c>
      <c r="I57" s="5"/>
    </row>
    <row r="58">
      <c r="A58" s="7">
        <v>6.704477144E9</v>
      </c>
      <c r="B58" s="7" t="s">
        <v>73</v>
      </c>
      <c r="C58" s="7">
        <v>2500.0</v>
      </c>
      <c r="D58" s="7">
        <v>1352.0</v>
      </c>
      <c r="E58" s="5">
        <f t="shared" si="1"/>
        <v>1148</v>
      </c>
      <c r="F58" s="8" t="str">
        <f t="shared" si="2"/>
        <v>Mismatch</v>
      </c>
      <c r="G58" s="8" t="str">
        <f t="shared" si="3"/>
        <v>Genuine conflict</v>
      </c>
      <c r="I58" s="5"/>
    </row>
    <row r="59">
      <c r="A59" s="7">
        <v>6.518496989E9</v>
      </c>
      <c r="B59" s="7" t="s">
        <v>74</v>
      </c>
      <c r="C59" s="7">
        <v>0.0</v>
      </c>
      <c r="D59" s="7">
        <v>1140.0</v>
      </c>
      <c r="E59" s="5">
        <f t="shared" si="1"/>
        <v>-1140</v>
      </c>
      <c r="F59" s="8" t="str">
        <f t="shared" si="2"/>
        <v>Mismatch</v>
      </c>
      <c r="G59" s="8" t="str">
        <f t="shared" si="3"/>
        <v>Zero hs_arr</v>
      </c>
      <c r="I59" s="5"/>
    </row>
    <row r="60">
      <c r="A60" s="7">
        <v>6.410458083E9</v>
      </c>
      <c r="B60" s="7" t="s">
        <v>75</v>
      </c>
      <c r="C60" s="7">
        <v>35500.0</v>
      </c>
      <c r="D60" s="7">
        <v>35500.0</v>
      </c>
      <c r="E60" s="5">
        <f t="shared" si="1"/>
        <v>0</v>
      </c>
      <c r="F60" s="8" t="str">
        <f t="shared" si="2"/>
        <v>Match</v>
      </c>
      <c r="G60" s="8" t="str">
        <f t="shared" si="3"/>
        <v>Match</v>
      </c>
      <c r="I60" s="5"/>
    </row>
    <row r="61">
      <c r="A61" s="7">
        <v>6.140716732E9</v>
      </c>
      <c r="B61" s="7" t="s">
        <v>76</v>
      </c>
      <c r="C61" s="7">
        <v>6900.0</v>
      </c>
      <c r="D61" s="7">
        <v>6000.0</v>
      </c>
      <c r="E61" s="5">
        <f t="shared" si="1"/>
        <v>900</v>
      </c>
      <c r="F61" s="8" t="str">
        <f t="shared" si="2"/>
        <v>Mismatch</v>
      </c>
      <c r="G61" s="8" t="str">
        <f t="shared" si="3"/>
        <v>Genuine conflict</v>
      </c>
      <c r="I61" s="5"/>
    </row>
    <row r="62">
      <c r="A62" s="7">
        <v>6.140734424E9</v>
      </c>
      <c r="B62" s="7" t="s">
        <v>77</v>
      </c>
      <c r="C62" s="7">
        <v>5940.0</v>
      </c>
      <c r="D62" s="7">
        <v>7128.0</v>
      </c>
      <c r="E62" s="5">
        <f t="shared" si="1"/>
        <v>-1188</v>
      </c>
      <c r="F62" s="8" t="str">
        <f t="shared" si="2"/>
        <v>Mismatch</v>
      </c>
      <c r="G62" s="8" t="str">
        <f t="shared" si="3"/>
        <v>Genuine conflict</v>
      </c>
      <c r="I62" s="5"/>
    </row>
    <row r="63">
      <c r="A63" s="7">
        <v>6.140715993E9</v>
      </c>
      <c r="B63" s="7" t="s">
        <v>78</v>
      </c>
      <c r="C63" s="7">
        <v>1990.0</v>
      </c>
      <c r="D63" s="7">
        <v>1194.0</v>
      </c>
      <c r="E63" s="5">
        <f t="shared" si="1"/>
        <v>796</v>
      </c>
      <c r="F63" s="8" t="str">
        <f t="shared" si="2"/>
        <v>Mismatch</v>
      </c>
      <c r="G63" s="8" t="str">
        <f t="shared" si="3"/>
        <v>Genuine conflict</v>
      </c>
      <c r="I63" s="5"/>
    </row>
    <row r="64">
      <c r="A64" s="7">
        <v>6.140699625E9</v>
      </c>
      <c r="B64" s="7" t="s">
        <v>79</v>
      </c>
      <c r="C64" s="7">
        <v>1158.0</v>
      </c>
      <c r="D64" s="7">
        <v>1158.0</v>
      </c>
      <c r="E64" s="5">
        <f t="shared" si="1"/>
        <v>0</v>
      </c>
      <c r="F64" s="8" t="str">
        <f t="shared" si="2"/>
        <v>Match</v>
      </c>
      <c r="G64" s="8" t="str">
        <f t="shared" si="3"/>
        <v>Match</v>
      </c>
      <c r="I64" s="5"/>
    </row>
    <row r="65">
      <c r="A65" s="7">
        <v>6.140666047E9</v>
      </c>
      <c r="B65" s="7" t="s">
        <v>80</v>
      </c>
      <c r="C65" s="7">
        <v>0.0</v>
      </c>
      <c r="D65" s="7">
        <v>1074.0</v>
      </c>
      <c r="E65" s="5">
        <f t="shared" si="1"/>
        <v>-1074</v>
      </c>
      <c r="F65" s="8" t="str">
        <f t="shared" si="2"/>
        <v>Mismatch</v>
      </c>
      <c r="G65" s="8" t="str">
        <f t="shared" si="3"/>
        <v>Zero hs_arr</v>
      </c>
      <c r="I65" s="5"/>
    </row>
    <row r="66">
      <c r="A66" s="7">
        <v>5.931314635E9</v>
      </c>
      <c r="B66" s="7" t="s">
        <v>81</v>
      </c>
      <c r="C66" s="7">
        <v>10562.6</v>
      </c>
      <c r="D66" s="7">
        <v>16820.0</v>
      </c>
      <c r="E66" s="5">
        <f t="shared" si="1"/>
        <v>-6257.4</v>
      </c>
      <c r="F66" s="8" t="str">
        <f t="shared" si="2"/>
        <v>Mismatch</v>
      </c>
      <c r="G66" s="8" t="str">
        <f t="shared" si="3"/>
        <v>Genuine conflict</v>
      </c>
      <c r="I66" s="5"/>
    </row>
    <row r="67">
      <c r="A67" s="7">
        <v>5.69333553E9</v>
      </c>
      <c r="B67" s="7" t="s">
        <v>82</v>
      </c>
      <c r="C67" s="7">
        <v>7950.0</v>
      </c>
      <c r="D67" s="7">
        <v>10860.0</v>
      </c>
      <c r="E67" s="5">
        <f t="shared" si="1"/>
        <v>-2910</v>
      </c>
      <c r="F67" s="8" t="str">
        <f t="shared" si="2"/>
        <v>Mismatch</v>
      </c>
      <c r="G67" s="8" t="str">
        <f t="shared" si="3"/>
        <v>Genuine conflict</v>
      </c>
      <c r="I67" s="5"/>
    </row>
    <row r="68">
      <c r="A68" s="7">
        <v>6.139681738E9</v>
      </c>
      <c r="B68" s="7" t="s">
        <v>83</v>
      </c>
      <c r="C68" s="7">
        <v>26832.0</v>
      </c>
      <c r="D68" s="7">
        <v>26832.0</v>
      </c>
      <c r="E68" s="5">
        <f t="shared" si="1"/>
        <v>0</v>
      </c>
      <c r="F68" s="8" t="str">
        <f t="shared" si="2"/>
        <v>Match</v>
      </c>
      <c r="G68" s="8" t="str">
        <f t="shared" si="3"/>
        <v>Match</v>
      </c>
      <c r="I68" s="5"/>
    </row>
    <row r="69">
      <c r="A69" s="7">
        <v>1.75217838297E11</v>
      </c>
      <c r="B69" s="7" t="s">
        <v>84</v>
      </c>
      <c r="C69" s="7">
        <v>9250.0</v>
      </c>
      <c r="D69" s="7">
        <v>9250.0</v>
      </c>
      <c r="E69" s="5">
        <f t="shared" si="1"/>
        <v>0</v>
      </c>
      <c r="F69" s="8" t="str">
        <f t="shared" si="2"/>
        <v>Match</v>
      </c>
      <c r="G69" s="8" t="str">
        <f t="shared" si="3"/>
        <v>Match</v>
      </c>
      <c r="I69" s="5"/>
    </row>
    <row r="70">
      <c r="A70" s="7">
        <v>5.319138004E9</v>
      </c>
      <c r="B70" s="7" t="s">
        <v>85</v>
      </c>
      <c r="C70" s="7">
        <v>13500.0</v>
      </c>
      <c r="D70" s="7">
        <v>13500.0</v>
      </c>
      <c r="E70" s="5">
        <f t="shared" si="1"/>
        <v>0</v>
      </c>
      <c r="F70" s="8" t="str">
        <f t="shared" si="2"/>
        <v>Match</v>
      </c>
      <c r="G70" s="8" t="str">
        <f t="shared" si="3"/>
        <v>Match</v>
      </c>
      <c r="I70" s="5"/>
    </row>
    <row r="71">
      <c r="A71" s="7">
        <v>7.967481304E9</v>
      </c>
      <c r="B71" s="7" t="s">
        <v>86</v>
      </c>
      <c r="C71" s="7">
        <v>3432.0</v>
      </c>
      <c r="D71" s="7">
        <v>2880.0</v>
      </c>
      <c r="E71" s="5">
        <f t="shared" si="1"/>
        <v>552</v>
      </c>
      <c r="F71" s="8" t="str">
        <f t="shared" si="2"/>
        <v>Mismatch</v>
      </c>
      <c r="G71" s="8" t="str">
        <f t="shared" si="3"/>
        <v>Genuine conflict</v>
      </c>
      <c r="I71" s="5"/>
    </row>
    <row r="72">
      <c r="A72" s="7">
        <v>5.30962888E9</v>
      </c>
      <c r="B72" s="7" t="s">
        <v>87</v>
      </c>
      <c r="C72" s="7">
        <v>14328.0</v>
      </c>
      <c r="D72" s="7">
        <v>14328.0</v>
      </c>
      <c r="E72" s="5">
        <f t="shared" si="1"/>
        <v>0</v>
      </c>
      <c r="F72" s="8" t="str">
        <f t="shared" si="2"/>
        <v>Match</v>
      </c>
      <c r="G72" s="8" t="str">
        <f t="shared" si="3"/>
        <v>Match</v>
      </c>
      <c r="I72" s="5"/>
    </row>
    <row r="73">
      <c r="A73" s="7">
        <v>5.263635399E9</v>
      </c>
      <c r="B73" s="7" t="s">
        <v>88</v>
      </c>
      <c r="C73" s="7">
        <v>21000.0</v>
      </c>
      <c r="D73" s="7">
        <v>21000.0</v>
      </c>
      <c r="E73" s="5">
        <f t="shared" si="1"/>
        <v>0</v>
      </c>
      <c r="F73" s="8" t="str">
        <f t="shared" si="2"/>
        <v>Match</v>
      </c>
      <c r="G73" s="8" t="str">
        <f t="shared" si="3"/>
        <v>Match</v>
      </c>
      <c r="I73" s="5"/>
    </row>
    <row r="74">
      <c r="A74" s="7">
        <v>7.792425667E9</v>
      </c>
      <c r="B74" s="7" t="s">
        <v>89</v>
      </c>
      <c r="C74" s="7">
        <v>6792.0</v>
      </c>
      <c r="D74" s="7">
        <v>3420.0</v>
      </c>
      <c r="E74" s="5">
        <f t="shared" si="1"/>
        <v>3372</v>
      </c>
      <c r="F74" s="8" t="str">
        <f t="shared" si="2"/>
        <v>Mismatch</v>
      </c>
      <c r="G74" s="8" t="str">
        <f t="shared" si="3"/>
        <v>Genuine conflict</v>
      </c>
      <c r="I74" s="5"/>
    </row>
    <row r="75">
      <c r="A75" s="7">
        <v>8.186893794E9</v>
      </c>
      <c r="B75" s="7" t="s">
        <v>90</v>
      </c>
      <c r="C75" s="7">
        <v>5752.0</v>
      </c>
      <c r="D75" s="7">
        <v>3582.0</v>
      </c>
      <c r="E75" s="5">
        <f t="shared" si="1"/>
        <v>2170</v>
      </c>
      <c r="F75" s="8" t="str">
        <f t="shared" si="2"/>
        <v>Mismatch</v>
      </c>
      <c r="G75" s="8" t="str">
        <f t="shared" si="3"/>
        <v>Genuine conflict</v>
      </c>
      <c r="I75" s="5"/>
    </row>
    <row r="76">
      <c r="A76" s="7">
        <v>5.253554678E9</v>
      </c>
      <c r="B76" s="7" t="s">
        <v>91</v>
      </c>
      <c r="C76" s="7">
        <v>10986.0</v>
      </c>
      <c r="D76" s="7">
        <v>9066.0</v>
      </c>
      <c r="E76" s="5">
        <f t="shared" si="1"/>
        <v>1920</v>
      </c>
      <c r="F76" s="8" t="str">
        <f t="shared" si="2"/>
        <v>Mismatch</v>
      </c>
      <c r="G76" s="8" t="str">
        <f t="shared" si="3"/>
        <v>Genuine conflict</v>
      </c>
      <c r="I76" s="5"/>
    </row>
    <row r="77">
      <c r="A77" s="7">
        <v>7.792319474E9</v>
      </c>
      <c r="B77" s="7" t="s">
        <v>92</v>
      </c>
      <c r="C77" s="7">
        <v>0.0</v>
      </c>
      <c r="D77" s="7">
        <v>1158.0</v>
      </c>
      <c r="E77" s="5">
        <f t="shared" si="1"/>
        <v>-1158</v>
      </c>
      <c r="F77" s="8" t="str">
        <f t="shared" si="2"/>
        <v>Mismatch</v>
      </c>
      <c r="G77" s="8" t="str">
        <f t="shared" si="3"/>
        <v>Zero hs_arr</v>
      </c>
      <c r="I77" s="5"/>
    </row>
    <row r="78">
      <c r="A78" s="7">
        <v>5.253208816E9</v>
      </c>
      <c r="B78" s="7" t="s">
        <v>93</v>
      </c>
      <c r="C78" s="7">
        <v>9000.0</v>
      </c>
      <c r="D78" s="7">
        <v>9000.0</v>
      </c>
      <c r="E78" s="5">
        <f t="shared" si="1"/>
        <v>0</v>
      </c>
      <c r="F78" s="8" t="str">
        <f t="shared" si="2"/>
        <v>Match</v>
      </c>
      <c r="G78" s="8" t="str">
        <f t="shared" si="3"/>
        <v>Match</v>
      </c>
      <c r="I78" s="5"/>
    </row>
    <row r="79">
      <c r="A79" s="7">
        <v>5.247125462E9</v>
      </c>
      <c r="B79" s="7" t="s">
        <v>94</v>
      </c>
      <c r="C79" s="7">
        <v>10440.0</v>
      </c>
      <c r="D79" s="7">
        <v>10440.0</v>
      </c>
      <c r="E79" s="5">
        <f t="shared" si="1"/>
        <v>0</v>
      </c>
      <c r="F79" s="8" t="str">
        <f t="shared" si="2"/>
        <v>Match</v>
      </c>
      <c r="G79" s="8" t="str">
        <f t="shared" si="3"/>
        <v>Match</v>
      </c>
      <c r="I79" s="5"/>
    </row>
    <row r="80">
      <c r="A80" s="7">
        <v>7.793820362E9</v>
      </c>
      <c r="B80" s="7" t="s">
        <v>95</v>
      </c>
      <c r="C80" s="7">
        <v>50904.0</v>
      </c>
      <c r="D80" s="7">
        <v>50904.0</v>
      </c>
      <c r="E80" s="5">
        <f t="shared" si="1"/>
        <v>0</v>
      </c>
      <c r="F80" s="8" t="str">
        <f t="shared" si="2"/>
        <v>Match</v>
      </c>
      <c r="G80" s="8" t="str">
        <f t="shared" si="3"/>
        <v>Match</v>
      </c>
      <c r="I80" s="5"/>
    </row>
    <row r="81">
      <c r="A81" s="7">
        <v>5.247029196E9</v>
      </c>
      <c r="B81" s="7" t="s">
        <v>96</v>
      </c>
      <c r="C81" s="7">
        <v>10440.0</v>
      </c>
      <c r="D81" s="7">
        <v>10440.0</v>
      </c>
      <c r="E81" s="5">
        <f t="shared" si="1"/>
        <v>0</v>
      </c>
      <c r="F81" s="8" t="str">
        <f t="shared" si="2"/>
        <v>Match</v>
      </c>
      <c r="G81" s="8" t="str">
        <f t="shared" si="3"/>
        <v>Match</v>
      </c>
      <c r="I81" s="5"/>
    </row>
    <row r="82">
      <c r="A82" s="7">
        <v>5.247009002E9</v>
      </c>
      <c r="B82" s="7" t="s">
        <v>97</v>
      </c>
      <c r="C82" s="7">
        <v>11520.0</v>
      </c>
      <c r="D82" s="7">
        <v>11520.0</v>
      </c>
      <c r="E82" s="5">
        <f t="shared" si="1"/>
        <v>0</v>
      </c>
      <c r="F82" s="8" t="str">
        <f t="shared" si="2"/>
        <v>Match</v>
      </c>
      <c r="G82" s="8" t="str">
        <f t="shared" si="3"/>
        <v>Match</v>
      </c>
      <c r="I82" s="5"/>
    </row>
    <row r="83">
      <c r="A83" s="7">
        <v>5.246448626E9</v>
      </c>
      <c r="B83" s="7" t="s">
        <v>98</v>
      </c>
      <c r="C83" s="7">
        <v>0.0</v>
      </c>
      <c r="D83" s="7">
        <v>6750.0</v>
      </c>
      <c r="E83" s="5">
        <f t="shared" si="1"/>
        <v>-6750</v>
      </c>
      <c r="F83" s="8" t="str">
        <f t="shared" si="2"/>
        <v>Mismatch</v>
      </c>
      <c r="G83" s="8" t="str">
        <f t="shared" si="3"/>
        <v>Zero hs_arr</v>
      </c>
      <c r="I83" s="5"/>
    </row>
    <row r="84">
      <c r="A84" s="7">
        <v>5.246430455E9</v>
      </c>
      <c r="B84" s="7" t="s">
        <v>99</v>
      </c>
      <c r="C84" s="7">
        <v>4620.0</v>
      </c>
      <c r="D84" s="7">
        <v>4620.0</v>
      </c>
      <c r="E84" s="5">
        <f t="shared" si="1"/>
        <v>0</v>
      </c>
      <c r="F84" s="8" t="str">
        <f t="shared" si="2"/>
        <v>Match</v>
      </c>
      <c r="G84" s="8" t="str">
        <f t="shared" si="3"/>
        <v>Match</v>
      </c>
      <c r="I84" s="5"/>
    </row>
    <row r="85">
      <c r="A85" s="7">
        <v>8.22284769E9</v>
      </c>
      <c r="B85" s="7" t="s">
        <v>100</v>
      </c>
      <c r="C85" s="7">
        <v>0.0</v>
      </c>
      <c r="D85" s="7">
        <v>1320.0</v>
      </c>
      <c r="E85" s="5">
        <f t="shared" si="1"/>
        <v>-1320</v>
      </c>
      <c r="F85" s="8" t="str">
        <f t="shared" si="2"/>
        <v>Mismatch</v>
      </c>
      <c r="G85" s="8" t="str">
        <f t="shared" si="3"/>
        <v>Zero hs_arr</v>
      </c>
      <c r="I85" s="5"/>
    </row>
    <row r="86">
      <c r="A86" s="7">
        <v>5.24547373E9</v>
      </c>
      <c r="B86" s="7" t="s">
        <v>101</v>
      </c>
      <c r="C86" s="7">
        <v>39402.72</v>
      </c>
      <c r="D86" s="7">
        <v>3940.32</v>
      </c>
      <c r="E86" s="5">
        <f t="shared" si="1"/>
        <v>35462.4</v>
      </c>
      <c r="F86" s="8" t="str">
        <f t="shared" si="2"/>
        <v>Mismatch</v>
      </c>
      <c r="G86" s="8" t="str">
        <f t="shared" si="3"/>
        <v>Genuine conflict</v>
      </c>
      <c r="I86" s="5"/>
    </row>
    <row r="87">
      <c r="A87" s="7">
        <v>7.792425195E9</v>
      </c>
      <c r="B87" s="7" t="s">
        <v>102</v>
      </c>
      <c r="C87" s="7">
        <v>11534.4</v>
      </c>
      <c r="D87" s="7">
        <v>11534.4</v>
      </c>
      <c r="E87" s="5">
        <f t="shared" si="1"/>
        <v>0</v>
      </c>
      <c r="F87" s="8" t="str">
        <f t="shared" si="2"/>
        <v>Match</v>
      </c>
      <c r="G87" s="8" t="str">
        <f t="shared" si="3"/>
        <v>Match</v>
      </c>
      <c r="I87" s="5"/>
    </row>
    <row r="88">
      <c r="A88" s="7">
        <v>4.813932512E9</v>
      </c>
      <c r="B88" s="7" t="s">
        <v>103</v>
      </c>
      <c r="C88" s="7">
        <v>14742.0</v>
      </c>
      <c r="D88" s="7">
        <v>5100.0</v>
      </c>
      <c r="E88" s="5">
        <f t="shared" si="1"/>
        <v>9642</v>
      </c>
      <c r="F88" s="8" t="str">
        <f t="shared" si="2"/>
        <v>Mismatch</v>
      </c>
      <c r="G88" s="8" t="str">
        <f t="shared" si="3"/>
        <v>Genuine conflict</v>
      </c>
      <c r="I88" s="5"/>
    </row>
    <row r="89">
      <c r="A89" s="7">
        <v>4.813932008E9</v>
      </c>
      <c r="B89" s="7" t="s">
        <v>104</v>
      </c>
      <c r="C89" s="7">
        <v>9540.0</v>
      </c>
      <c r="D89" s="7">
        <v>9540.0</v>
      </c>
      <c r="E89" s="5">
        <f t="shared" si="1"/>
        <v>0</v>
      </c>
      <c r="F89" s="8" t="str">
        <f t="shared" si="2"/>
        <v>Match</v>
      </c>
      <c r="G89" s="8" t="str">
        <f t="shared" si="3"/>
        <v>Match</v>
      </c>
      <c r="I89" s="5"/>
    </row>
    <row r="90">
      <c r="A90" s="7">
        <v>5.487693021E9</v>
      </c>
      <c r="B90" s="7" t="s">
        <v>105</v>
      </c>
      <c r="C90" s="7">
        <v>4080.0</v>
      </c>
      <c r="D90" s="7">
        <v>17280.0</v>
      </c>
      <c r="E90" s="5">
        <f t="shared" si="1"/>
        <v>-13200</v>
      </c>
      <c r="F90" s="8" t="str">
        <f t="shared" si="2"/>
        <v>Mismatch</v>
      </c>
      <c r="G90" s="8" t="str">
        <f t="shared" si="3"/>
        <v>Genuine conflict</v>
      </c>
      <c r="I90" s="5"/>
    </row>
    <row r="91">
      <c r="A91" s="7">
        <v>7.176260797E9</v>
      </c>
      <c r="B91" s="7" t="s">
        <v>106</v>
      </c>
      <c r="C91" s="7">
        <v>30720.0</v>
      </c>
      <c r="D91" s="7">
        <v>9540.0</v>
      </c>
      <c r="E91" s="5">
        <f t="shared" si="1"/>
        <v>21180</v>
      </c>
      <c r="F91" s="8" t="str">
        <f t="shared" si="2"/>
        <v>Mismatch</v>
      </c>
      <c r="G91" s="8" t="str">
        <f t="shared" si="3"/>
        <v>Genuine conflict</v>
      </c>
      <c r="I91" s="5"/>
    </row>
    <row r="92">
      <c r="A92" s="7">
        <v>4.807892709E9</v>
      </c>
      <c r="B92" s="7" t="s">
        <v>107</v>
      </c>
      <c r="C92" s="7">
        <v>3830.76</v>
      </c>
      <c r="D92" s="7">
        <v>10215.36</v>
      </c>
      <c r="E92" s="5">
        <f t="shared" si="1"/>
        <v>-6384.6</v>
      </c>
      <c r="F92" s="8" t="str">
        <f t="shared" si="2"/>
        <v>Mismatch</v>
      </c>
      <c r="G92" s="8" t="str">
        <f t="shared" si="3"/>
        <v>Genuine conflict</v>
      </c>
      <c r="I92" s="5"/>
    </row>
    <row r="93">
      <c r="A93" s="7">
        <v>4.807163617E9</v>
      </c>
      <c r="B93" s="7" t="s">
        <v>108</v>
      </c>
      <c r="C93" s="7">
        <v>5650.0</v>
      </c>
      <c r="D93" s="7">
        <v>4175.0</v>
      </c>
      <c r="E93" s="5">
        <f t="shared" si="1"/>
        <v>1475</v>
      </c>
      <c r="F93" s="8" t="str">
        <f t="shared" si="2"/>
        <v>Mismatch</v>
      </c>
      <c r="G93" s="8" t="str">
        <f t="shared" si="3"/>
        <v>Genuine conflict</v>
      </c>
      <c r="I93" s="5"/>
    </row>
    <row r="94">
      <c r="A94" s="7">
        <v>4.805514195E9</v>
      </c>
      <c r="B94" s="7" t="s">
        <v>109</v>
      </c>
      <c r="C94" s="7">
        <v>8700.0</v>
      </c>
      <c r="D94" s="7">
        <v>10440.0</v>
      </c>
      <c r="E94" s="5">
        <f t="shared" si="1"/>
        <v>-1740</v>
      </c>
      <c r="F94" s="8" t="str">
        <f t="shared" si="2"/>
        <v>Mismatch</v>
      </c>
      <c r="G94" s="8" t="str">
        <f t="shared" si="3"/>
        <v>Genuine conflict</v>
      </c>
      <c r="I94" s="5"/>
    </row>
    <row r="95">
      <c r="A95" s="7">
        <v>4.804608197E9</v>
      </c>
      <c r="B95" s="7" t="s">
        <v>110</v>
      </c>
      <c r="C95" s="7">
        <v>3528.0</v>
      </c>
      <c r="D95" s="7">
        <v>3528.0</v>
      </c>
      <c r="E95" s="5">
        <f t="shared" si="1"/>
        <v>0</v>
      </c>
      <c r="F95" s="8" t="str">
        <f t="shared" si="2"/>
        <v>Match</v>
      </c>
      <c r="G95" s="8" t="str">
        <f t="shared" si="3"/>
        <v>Match</v>
      </c>
      <c r="I95" s="5"/>
    </row>
    <row r="96">
      <c r="A96" s="7">
        <v>4.804634585E9</v>
      </c>
      <c r="B96" s="7" t="s">
        <v>111</v>
      </c>
      <c r="C96" s="7">
        <v>4260.0</v>
      </c>
      <c r="D96" s="7">
        <v>5112.0</v>
      </c>
      <c r="E96" s="5">
        <f t="shared" si="1"/>
        <v>-852</v>
      </c>
      <c r="F96" s="8" t="str">
        <f t="shared" si="2"/>
        <v>Mismatch</v>
      </c>
      <c r="G96" s="8" t="str">
        <f t="shared" si="3"/>
        <v>Genuine conflict</v>
      </c>
      <c r="I96" s="5"/>
    </row>
    <row r="97">
      <c r="A97" s="7">
        <v>8.487961837E9</v>
      </c>
      <c r="B97" s="7" t="s">
        <v>112</v>
      </c>
      <c r="C97" s="7">
        <v>9540.0</v>
      </c>
      <c r="D97" s="7">
        <v>9540.0</v>
      </c>
      <c r="E97" s="5">
        <f t="shared" si="1"/>
        <v>0</v>
      </c>
      <c r="F97" s="8" t="str">
        <f t="shared" si="2"/>
        <v>Match</v>
      </c>
      <c r="G97" s="8" t="str">
        <f t="shared" si="3"/>
        <v>Match</v>
      </c>
      <c r="I97" s="5"/>
    </row>
    <row r="98">
      <c r="A98" s="7">
        <v>4.80360854E9</v>
      </c>
      <c r="B98" s="7" t="s">
        <v>113</v>
      </c>
      <c r="C98" s="7">
        <v>9540.0</v>
      </c>
      <c r="D98" s="7">
        <v>9540.0</v>
      </c>
      <c r="E98" s="5">
        <f t="shared" si="1"/>
        <v>0</v>
      </c>
      <c r="F98" s="8" t="str">
        <f t="shared" si="2"/>
        <v>Match</v>
      </c>
      <c r="G98" s="8" t="str">
        <f t="shared" si="3"/>
        <v>Match</v>
      </c>
      <c r="I98" s="5"/>
    </row>
    <row r="99">
      <c r="A99" s="7">
        <v>4.803608E9</v>
      </c>
      <c r="B99" s="7" t="s">
        <v>114</v>
      </c>
      <c r="C99" s="7">
        <v>17796.0</v>
      </c>
      <c r="D99" s="7">
        <v>21895.0</v>
      </c>
      <c r="E99" s="5">
        <f t="shared" si="1"/>
        <v>-4099</v>
      </c>
      <c r="F99" s="8" t="str">
        <f t="shared" si="2"/>
        <v>Mismatch</v>
      </c>
      <c r="G99" s="8" t="str">
        <f t="shared" si="3"/>
        <v>Genuine conflict</v>
      </c>
      <c r="I99" s="5"/>
    </row>
    <row r="100">
      <c r="A100" s="7">
        <v>4.80360777E9</v>
      </c>
      <c r="B100" s="7" t="s">
        <v>115</v>
      </c>
      <c r="C100" s="7">
        <v>1850.0</v>
      </c>
      <c r="D100" s="7">
        <v>2200.0</v>
      </c>
      <c r="E100" s="5">
        <f t="shared" si="1"/>
        <v>-350</v>
      </c>
      <c r="F100" s="8" t="str">
        <f t="shared" si="2"/>
        <v>Mismatch</v>
      </c>
      <c r="G100" s="8" t="str">
        <f t="shared" si="3"/>
        <v>Genuine conflict</v>
      </c>
      <c r="I100" s="5"/>
    </row>
    <row r="101">
      <c r="A101" s="7">
        <v>5.0240184856E11</v>
      </c>
      <c r="B101" s="7" t="s">
        <v>116</v>
      </c>
      <c r="C101" s="7">
        <v>10440.0</v>
      </c>
      <c r="D101" s="7">
        <v>10440.0</v>
      </c>
      <c r="E101" s="5">
        <f t="shared" si="1"/>
        <v>0</v>
      </c>
      <c r="F101" s="8" t="str">
        <f t="shared" si="2"/>
        <v>Match</v>
      </c>
      <c r="G101" s="8" t="str">
        <f t="shared" si="3"/>
        <v>Match</v>
      </c>
      <c r="I101" s="5"/>
    </row>
    <row r="102">
      <c r="A102" s="7">
        <v>4.803586019E9</v>
      </c>
      <c r="B102" s="7" t="s">
        <v>117</v>
      </c>
      <c r="C102" s="7">
        <v>7950.0</v>
      </c>
      <c r="D102" s="7">
        <v>9540.0</v>
      </c>
      <c r="E102" s="5">
        <f t="shared" si="1"/>
        <v>-1590</v>
      </c>
      <c r="F102" s="8" t="str">
        <f t="shared" si="2"/>
        <v>Mismatch</v>
      </c>
      <c r="G102" s="8" t="str">
        <f t="shared" si="3"/>
        <v>Genuine conflict</v>
      </c>
      <c r="I102" s="5"/>
    </row>
    <row r="103">
      <c r="A103" s="7">
        <v>4.803501028E9</v>
      </c>
      <c r="B103" s="7" t="s">
        <v>118</v>
      </c>
      <c r="C103" s="7">
        <v>20640.0</v>
      </c>
      <c r="D103" s="7">
        <v>20640.0</v>
      </c>
      <c r="E103" s="5">
        <f t="shared" si="1"/>
        <v>0</v>
      </c>
      <c r="F103" s="8" t="str">
        <f t="shared" si="2"/>
        <v>Match</v>
      </c>
      <c r="G103" s="8" t="str">
        <f t="shared" si="3"/>
        <v>Match</v>
      </c>
      <c r="I103" s="5"/>
    </row>
    <row r="104">
      <c r="A104" s="7">
        <v>2.1400430205E11</v>
      </c>
      <c r="B104" s="7" t="s">
        <v>119</v>
      </c>
      <c r="C104" s="7">
        <v>9210.0</v>
      </c>
      <c r="D104" s="7">
        <v>2340.0</v>
      </c>
      <c r="E104" s="5">
        <f t="shared" si="1"/>
        <v>6870</v>
      </c>
      <c r="F104" s="8" t="str">
        <f t="shared" si="2"/>
        <v>Mismatch</v>
      </c>
      <c r="G104" s="8" t="str">
        <f t="shared" si="3"/>
        <v>Genuine conflict</v>
      </c>
      <c r="I104" s="5"/>
    </row>
    <row r="105">
      <c r="A105" s="7">
        <v>4.803401443E9</v>
      </c>
      <c r="B105" s="7" t="s">
        <v>120</v>
      </c>
      <c r="C105" s="7">
        <v>4752.0</v>
      </c>
      <c r="D105" s="7">
        <v>4752.0</v>
      </c>
      <c r="E105" s="5">
        <f t="shared" si="1"/>
        <v>0</v>
      </c>
      <c r="F105" s="8" t="str">
        <f t="shared" si="2"/>
        <v>Match</v>
      </c>
      <c r="G105" s="8" t="str">
        <f t="shared" si="3"/>
        <v>Match</v>
      </c>
      <c r="I105" s="5"/>
    </row>
    <row r="106">
      <c r="A106" s="7">
        <v>4.80269385E9</v>
      </c>
      <c r="B106" s="7" t="s">
        <v>121</v>
      </c>
      <c r="C106" s="7">
        <v>6912.0</v>
      </c>
      <c r="D106" s="7">
        <v>6912.0</v>
      </c>
      <c r="E106" s="5">
        <f t="shared" si="1"/>
        <v>0</v>
      </c>
      <c r="F106" s="8" t="str">
        <f t="shared" si="2"/>
        <v>Match</v>
      </c>
      <c r="G106" s="8" t="str">
        <f t="shared" si="3"/>
        <v>Match</v>
      </c>
      <c r="I106"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146.13"/>
  </cols>
  <sheetData>
    <row r="1">
      <c r="A1" s="3" t="s">
        <v>6</v>
      </c>
      <c r="B1" s="3" t="s">
        <v>8</v>
      </c>
    </row>
    <row r="2">
      <c r="A2" s="3" t="s">
        <v>9</v>
      </c>
      <c r="B2" s="6" t="s">
        <v>10</v>
      </c>
    </row>
    <row r="3">
      <c r="A3" s="3" t="s">
        <v>12</v>
      </c>
      <c r="B3" s="6" t="s">
        <v>13</v>
      </c>
    </row>
    <row r="4">
      <c r="A4" s="3" t="s">
        <v>14</v>
      </c>
      <c r="B4" s="6" t="s">
        <v>15</v>
      </c>
    </row>
  </sheetData>
  <drawing r:id="rId1"/>
</worksheet>
</file>